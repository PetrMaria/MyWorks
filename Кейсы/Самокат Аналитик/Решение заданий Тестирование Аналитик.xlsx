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petru\Downloads\Telegram Desktop\"/>
    </mc:Choice>
  </mc:AlternateContent>
  <xr:revisionPtr revIDLastSave="0" documentId="8_{D7D0D0E9-0C47-4676-9307-5416E79675E2}" xr6:coauthVersionLast="47" xr6:coauthVersionMax="47" xr10:uidLastSave="{00000000-0000-0000-0000-000000000000}"/>
  <bookViews>
    <workbookView xWindow="-104" yWindow="-104" windowWidth="22326" windowHeight="11947" xr2:uid="{356906A7-52CD-47DC-8A99-D9D28F94FCE2}"/>
  </bookViews>
  <sheets>
    <sheet name="Задание" sheetId="5" r:id="rId1"/>
    <sheet name="Лист1" sheetId="1" r:id="rId2"/>
    <sheet name="Задание 2" sheetId="8" r:id="rId3"/>
    <sheet name="Лист2" sheetId="2" r:id="rId4"/>
  </sheet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5" i="8" l="1"/>
  <c r="M6" i="8"/>
  <c r="M7" i="8"/>
  <c r="M8" i="8"/>
  <c r="M9" i="8"/>
  <c r="M10" i="8"/>
  <c r="M11" i="8"/>
  <c r="M12" i="8"/>
  <c r="M13" i="8"/>
  <c r="M14" i="8"/>
  <c r="M15" i="8"/>
  <c r="M16" i="8"/>
  <c r="M17" i="8"/>
  <c r="M18" i="8"/>
  <c r="M19" i="8"/>
  <c r="M20" i="8"/>
  <c r="M21" i="8"/>
  <c r="M4" i="8"/>
  <c r="L5" i="8"/>
  <c r="L6" i="8"/>
  <c r="L7" i="8"/>
  <c r="L8" i="8"/>
  <c r="L9" i="8"/>
  <c r="L10" i="8"/>
  <c r="L11" i="8"/>
  <c r="L12" i="8"/>
  <c r="L13" i="8"/>
  <c r="L14" i="8"/>
  <c r="L15" i="8"/>
  <c r="L16" i="8"/>
  <c r="L17" i="8"/>
  <c r="L18" i="8"/>
  <c r="L19" i="8"/>
  <c r="L20" i="8"/>
  <c r="L21" i="8"/>
  <c r="L4" i="8"/>
  <c r="J3" i="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c r="J19" i="1" a="1"/>
  <c r="J19" i="1" s="1"/>
  <c r="J20" i="1" a="1"/>
  <c r="J20" i="1" s="1"/>
  <c r="J21" i="1" a="1"/>
  <c r="J21" i="1" s="1"/>
  <c r="J22" i="1" a="1"/>
  <c r="J22" i="1" s="1"/>
  <c r="J23" i="1" a="1"/>
  <c r="J23" i="1" s="1"/>
  <c r="J24" i="1" a="1"/>
  <c r="J24" i="1" s="1"/>
  <c r="J25" i="1" a="1"/>
  <c r="J25" i="1" s="1"/>
  <c r="J26" i="1" a="1"/>
  <c r="J26" i="1"/>
  <c r="J27" i="1" a="1"/>
  <c r="J27" i="1" s="1"/>
  <c r="J28" i="1" a="1"/>
  <c r="J28" i="1" s="1"/>
  <c r="J29" i="1" a="1"/>
  <c r="J29" i="1" s="1"/>
  <c r="J30" i="1" a="1"/>
  <c r="J30" i="1" s="1"/>
  <c r="J31" i="1" a="1"/>
  <c r="J31" i="1" s="1"/>
  <c r="J32" i="1" a="1"/>
  <c r="J32" i="1" s="1"/>
  <c r="J33" i="1" a="1"/>
  <c r="J33" i="1" s="1"/>
  <c r="J34" i="1" a="1"/>
  <c r="J34" i="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c r="J51" i="1" a="1"/>
  <c r="J51" i="1" s="1"/>
  <c r="J52" i="1" a="1"/>
  <c r="J52" i="1" s="1"/>
  <c r="J53" i="1" a="1"/>
  <c r="J53" i="1" s="1"/>
  <c r="J54" i="1" a="1"/>
  <c r="J54" i="1" s="1"/>
  <c r="J55" i="1" a="1"/>
  <c r="J55" i="1" s="1"/>
  <c r="J56" i="1" a="1"/>
  <c r="J56" i="1" s="1"/>
  <c r="J57" i="1" a="1"/>
  <c r="J57" i="1" s="1"/>
  <c r="J58" i="1" a="1"/>
  <c r="J58" i="1"/>
  <c r="J59" i="1" a="1"/>
  <c r="J59" i="1" s="1"/>
  <c r="J60" i="1" a="1"/>
  <c r="J60" i="1" s="1"/>
  <c r="J61" i="1" a="1"/>
  <c r="J61" i="1" s="1"/>
  <c r="J62" i="1" a="1"/>
  <c r="J62" i="1" s="1"/>
  <c r="J63" i="1" a="1"/>
  <c r="J63" i="1" s="1"/>
  <c r="J64" i="1" a="1"/>
  <c r="J64" i="1" s="1"/>
  <c r="J65" i="1" a="1"/>
  <c r="J65" i="1" s="1"/>
  <c r="J66" i="1" a="1"/>
  <c r="J66" i="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c r="J83" i="1" a="1"/>
  <c r="J83" i="1" s="1"/>
  <c r="J84" i="1" a="1"/>
  <c r="J84" i="1" s="1"/>
  <c r="J85" i="1" a="1"/>
  <c r="J85" i="1" s="1"/>
  <c r="J86" i="1" a="1"/>
  <c r="J86" i="1" s="1"/>
  <c r="J87" i="1" a="1"/>
  <c r="J87" i="1" s="1"/>
  <c r="J88" i="1" a="1"/>
  <c r="J88" i="1" s="1"/>
  <c r="J89" i="1" a="1"/>
  <c r="J89" i="1" s="1"/>
  <c r="J90" i="1" a="1"/>
  <c r="J90" i="1"/>
  <c r="J91" i="1" a="1"/>
  <c r="J91" i="1" s="1"/>
  <c r="J92" i="1" a="1"/>
  <c r="J92" i="1" s="1"/>
  <c r="J93" i="1" a="1"/>
  <c r="J93" i="1" s="1"/>
  <c r="J94" i="1" a="1"/>
  <c r="J94" i="1" s="1"/>
  <c r="J95" i="1" a="1"/>
  <c r="J95" i="1" s="1"/>
  <c r="J96" i="1" a="1"/>
  <c r="J96" i="1" s="1"/>
  <c r="J97" i="1" a="1"/>
  <c r="J97" i="1" s="1"/>
  <c r="J98" i="1" a="1"/>
  <c r="J98" i="1"/>
  <c r="J99" i="1" a="1"/>
  <c r="J99" i="1" s="1"/>
  <c r="J100" i="1" a="1"/>
  <c r="J100" i="1" s="1"/>
  <c r="J101" i="1" a="1"/>
  <c r="J101" i="1" s="1"/>
  <c r="J102" i="1" a="1"/>
  <c r="J102" i="1" s="1"/>
  <c r="J103" i="1" a="1"/>
  <c r="J103" i="1" s="1"/>
  <c r="J104" i="1" a="1"/>
  <c r="J104" i="1" s="1"/>
  <c r="J105" i="1" a="1"/>
  <c r="J105" i="1" s="1"/>
  <c r="J106" i="1" a="1"/>
  <c r="J106" i="1" s="1"/>
  <c r="J107" i="1" a="1"/>
  <c r="J107" i="1" s="1"/>
  <c r="J108" i="1" a="1"/>
  <c r="J108" i="1" s="1"/>
  <c r="J109" i="1" a="1"/>
  <c r="J109" i="1" s="1"/>
  <c r="J110" i="1" a="1"/>
  <c r="J110" i="1" s="1"/>
  <c r="J111" i="1" a="1"/>
  <c r="J111" i="1" s="1"/>
  <c r="J112" i="1" a="1"/>
  <c r="J112" i="1" s="1"/>
  <c r="J113" i="1" a="1"/>
  <c r="J113" i="1" s="1"/>
  <c r="J114" i="1" a="1"/>
  <c r="J114" i="1"/>
  <c r="J115" i="1" a="1"/>
  <c r="J115" i="1" s="1"/>
  <c r="J116" i="1" a="1"/>
  <c r="J116" i="1" s="1"/>
  <c r="J117" i="1" a="1"/>
  <c r="J117" i="1" s="1"/>
  <c r="J118" i="1" a="1"/>
  <c r="J118" i="1" s="1"/>
  <c r="J119" i="1" a="1"/>
  <c r="J119" i="1" s="1"/>
  <c r="J120" i="1" a="1"/>
  <c r="J120" i="1" s="1"/>
  <c r="J121" i="1" a="1"/>
  <c r="J121" i="1" s="1"/>
  <c r="J122" i="1" a="1"/>
  <c r="J122" i="1"/>
  <c r="J123" i="1" a="1"/>
  <c r="J123" i="1" s="1"/>
  <c r="J124" i="1" a="1"/>
  <c r="J124" i="1" s="1"/>
  <c r="J125" i="1" a="1"/>
  <c r="J125" i="1" s="1"/>
  <c r="J126" i="1" a="1"/>
  <c r="J126" i="1" s="1"/>
  <c r="J127" i="1" a="1"/>
  <c r="J127" i="1" s="1"/>
  <c r="J128" i="1" a="1"/>
  <c r="J128" i="1" s="1"/>
  <c r="J129" i="1" a="1"/>
  <c r="J129" i="1" s="1"/>
  <c r="J130" i="1" a="1"/>
  <c r="J130" i="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s="1"/>
  <c r="J146" i="1" a="1"/>
  <c r="J146" i="1"/>
  <c r="J147" i="1" a="1"/>
  <c r="J147" i="1" s="1"/>
  <c r="J148" i="1" a="1"/>
  <c r="J148" i="1" s="1"/>
  <c r="J149" i="1" a="1"/>
  <c r="J149" i="1" s="1"/>
  <c r="J150" i="1" a="1"/>
  <c r="J150" i="1" s="1"/>
  <c r="J151" i="1" a="1"/>
  <c r="J151" i="1" s="1"/>
  <c r="J152" i="1" a="1"/>
  <c r="J152" i="1" s="1"/>
  <c r="J153" i="1" a="1"/>
  <c r="J153" i="1" s="1"/>
  <c r="J154" i="1" a="1"/>
  <c r="J154" i="1"/>
  <c r="J155" i="1" a="1"/>
  <c r="J155" i="1" s="1"/>
  <c r="J156" i="1" a="1"/>
  <c r="J156" i="1" s="1"/>
  <c r="J157" i="1" a="1"/>
  <c r="J157" i="1" s="1"/>
  <c r="J158" i="1" a="1"/>
  <c r="J158" i="1" s="1"/>
  <c r="J159" i="1" a="1"/>
  <c r="J159" i="1" s="1"/>
  <c r="J160" i="1" a="1"/>
  <c r="J160" i="1" s="1"/>
  <c r="J161" i="1" a="1"/>
  <c r="J161" i="1" s="1"/>
  <c r="J162" i="1" a="1"/>
  <c r="J162" i="1"/>
  <c r="J163" i="1" a="1"/>
  <c r="J163" i="1" s="1"/>
  <c r="J164" i="1" a="1"/>
  <c r="J164" i="1" s="1"/>
  <c r="J165" i="1" a="1"/>
  <c r="J165" i="1" s="1"/>
  <c r="J166" i="1" a="1"/>
  <c r="J166" i="1" s="1"/>
  <c r="J167" i="1" a="1"/>
  <c r="J167" i="1" s="1"/>
  <c r="J168" i="1" a="1"/>
  <c r="J168" i="1" s="1"/>
  <c r="J169" i="1" a="1"/>
  <c r="J169" i="1" s="1"/>
  <c r="J170" i="1" a="1"/>
  <c r="J170" i="1"/>
  <c r="J171" i="1" a="1"/>
  <c r="J171" i="1" s="1"/>
  <c r="J172" i="1" a="1"/>
  <c r="J172" i="1" s="1"/>
  <c r="J173" i="1" a="1"/>
  <c r="J173" i="1" s="1"/>
  <c r="J174" i="1" a="1"/>
  <c r="J174" i="1"/>
  <c r="J175" i="1" a="1"/>
  <c r="J175" i="1" s="1"/>
  <c r="J176" i="1" a="1"/>
  <c r="J176" i="1" s="1"/>
  <c r="J177" i="1" a="1"/>
  <c r="J177" i="1" s="1"/>
  <c r="J178" i="1" a="1"/>
  <c r="J178" i="1"/>
  <c r="J179" i="1" a="1"/>
  <c r="J179" i="1" s="1"/>
  <c r="J180" i="1" a="1"/>
  <c r="J180" i="1" s="1"/>
  <c r="J181" i="1" a="1"/>
  <c r="J181" i="1" s="1"/>
  <c r="J182" i="1" a="1"/>
  <c r="J182" i="1" s="1"/>
  <c r="J183" i="1" a="1"/>
  <c r="J183" i="1" s="1"/>
  <c r="J184" i="1" a="1"/>
  <c r="J184" i="1" s="1"/>
  <c r="J185" i="1" a="1"/>
  <c r="J185" i="1" s="1"/>
  <c r="J186" i="1" a="1"/>
  <c r="J186" i="1"/>
  <c r="J187" i="1" a="1"/>
  <c r="J187" i="1" s="1"/>
  <c r="J188" i="1" a="1"/>
  <c r="J188" i="1" s="1"/>
  <c r="J189" i="1" a="1"/>
  <c r="J189" i="1" s="1"/>
  <c r="J190" i="1" a="1"/>
  <c r="J190" i="1" s="1"/>
  <c r="J191" i="1" a="1"/>
  <c r="J191" i="1" s="1"/>
  <c r="J192" i="1" a="1"/>
  <c r="J192" i="1" s="1"/>
  <c r="J193" i="1" a="1"/>
  <c r="J193" i="1" s="1"/>
  <c r="J194" i="1" a="1"/>
  <c r="J194" i="1"/>
  <c r="J195" i="1" a="1"/>
  <c r="J195" i="1" s="1"/>
  <c r="J196" i="1" a="1"/>
  <c r="J196" i="1" s="1"/>
  <c r="J197" i="1" a="1"/>
  <c r="J197" i="1" s="1"/>
  <c r="J198" i="1" a="1"/>
  <c r="J198" i="1" s="1"/>
  <c r="J199" i="1" a="1"/>
  <c r="J199" i="1" s="1"/>
  <c r="J200" i="1" a="1"/>
  <c r="J200" i="1" s="1"/>
  <c r="J201" i="1" a="1"/>
  <c r="J201" i="1" s="1"/>
  <c r="J202" i="1" a="1"/>
  <c r="J202" i="1"/>
  <c r="J203" i="1" a="1"/>
  <c r="J203" i="1" s="1"/>
  <c r="J204" i="1" a="1"/>
  <c r="J204" i="1" s="1"/>
  <c r="J205" i="1" a="1"/>
  <c r="J205" i="1" s="1"/>
  <c r="J206" i="1" a="1"/>
  <c r="J206" i="1"/>
  <c r="J207" i="1" a="1"/>
  <c r="J207" i="1" s="1"/>
  <c r="J208" i="1" a="1"/>
  <c r="J208" i="1" s="1"/>
  <c r="J209" i="1" a="1"/>
  <c r="J209" i="1" s="1"/>
  <c r="J210" i="1" a="1"/>
  <c r="J210" i="1"/>
  <c r="J211" i="1" a="1"/>
  <c r="J211" i="1" s="1"/>
  <c r="J212" i="1" a="1"/>
  <c r="J212" i="1" s="1"/>
  <c r="J213" i="1" a="1"/>
  <c r="J213" i="1" s="1"/>
  <c r="J214" i="1" a="1"/>
  <c r="J214" i="1" s="1"/>
  <c r="J215" i="1" a="1"/>
  <c r="J215" i="1" s="1"/>
  <c r="J216" i="1" a="1"/>
  <c r="J216" i="1" s="1"/>
  <c r="J217" i="1" a="1"/>
  <c r="J217" i="1" s="1"/>
  <c r="J218" i="1" a="1"/>
  <c r="J218" i="1"/>
  <c r="J219" i="1" a="1"/>
  <c r="J219" i="1" s="1"/>
  <c r="J220" i="1" a="1"/>
  <c r="J220" i="1" s="1"/>
  <c r="J221" i="1" a="1"/>
  <c r="J221" i="1" s="1"/>
  <c r="J222" i="1" a="1"/>
  <c r="J222" i="1" s="1"/>
  <c r="J223" i="1" a="1"/>
  <c r="J223" i="1" s="1"/>
  <c r="J224" i="1" a="1"/>
  <c r="J224" i="1" s="1"/>
  <c r="J225" i="1" a="1"/>
  <c r="J225" i="1" s="1"/>
  <c r="J226" i="1" a="1"/>
  <c r="J226" i="1"/>
  <c r="J227" i="1" a="1"/>
  <c r="J227" i="1" s="1"/>
  <c r="J228" i="1" a="1"/>
  <c r="J228" i="1" s="1"/>
  <c r="J229" i="1" a="1"/>
  <c r="J229" i="1" s="1"/>
  <c r="J230" i="1" a="1"/>
  <c r="J230" i="1" s="1"/>
  <c r="J231" i="1" a="1"/>
  <c r="J231" i="1" s="1"/>
  <c r="J232" i="1" a="1"/>
  <c r="J232" i="1" s="1"/>
  <c r="J233" i="1" a="1"/>
  <c r="J233" i="1" s="1"/>
  <c r="J234" i="1" a="1"/>
  <c r="J234" i="1"/>
  <c r="J235" i="1" a="1"/>
  <c r="J235" i="1" s="1"/>
  <c r="J236" i="1" a="1"/>
  <c r="J236" i="1" s="1"/>
  <c r="J237" i="1" a="1"/>
  <c r="J237" i="1" s="1"/>
  <c r="J238" i="1" a="1"/>
  <c r="J238" i="1"/>
  <c r="J239" i="1" a="1"/>
  <c r="J239" i="1" s="1"/>
  <c r="J240" i="1" a="1"/>
  <c r="J240" i="1" s="1"/>
  <c r="J241" i="1" a="1"/>
  <c r="J241" i="1" s="1"/>
  <c r="J242" i="1" a="1"/>
  <c r="J242" i="1"/>
  <c r="J243" i="1" a="1"/>
  <c r="J243" i="1" s="1"/>
  <c r="J244" i="1" a="1"/>
  <c r="J244" i="1" s="1"/>
  <c r="J245" i="1" a="1"/>
  <c r="J245" i="1" s="1"/>
  <c r="J246" i="1" a="1"/>
  <c r="J246" i="1" s="1"/>
  <c r="J247" i="1" a="1"/>
  <c r="J247" i="1" s="1"/>
  <c r="J248" i="1" a="1"/>
  <c r="J248" i="1" s="1"/>
  <c r="J249" i="1" a="1"/>
  <c r="J249" i="1" s="1"/>
  <c r="J250" i="1" a="1"/>
  <c r="J250" i="1"/>
  <c r="J251" i="1" a="1"/>
  <c r="J251" i="1" s="1"/>
  <c r="J252" i="1" a="1"/>
  <c r="J252" i="1" s="1"/>
  <c r="J253" i="1" a="1"/>
  <c r="J253" i="1" s="1"/>
  <c r="J254" i="1" a="1"/>
  <c r="J254" i="1" s="1"/>
  <c r="J255" i="1" a="1"/>
  <c r="J255" i="1" s="1"/>
  <c r="J256" i="1" a="1"/>
  <c r="J256" i="1" s="1"/>
  <c r="J257" i="1" a="1"/>
  <c r="J257" i="1" s="1"/>
  <c r="J258" i="1" a="1"/>
  <c r="J258" i="1"/>
  <c r="J259" i="1" a="1"/>
  <c r="J259" i="1" s="1"/>
  <c r="J260" i="1" a="1"/>
  <c r="J260" i="1" s="1"/>
  <c r="J261" i="1" a="1"/>
  <c r="J261" i="1" s="1"/>
  <c r="J262" i="1" a="1"/>
  <c r="J262" i="1" s="1"/>
  <c r="J263" i="1" a="1"/>
  <c r="J263" i="1" s="1"/>
  <c r="J264" i="1" a="1"/>
  <c r="J264" i="1" s="1"/>
  <c r="J265" i="1" a="1"/>
  <c r="J265" i="1" s="1"/>
  <c r="J266" i="1" a="1"/>
  <c r="J266" i="1"/>
  <c r="J267" i="1" a="1"/>
  <c r="J267" i="1" s="1"/>
  <c r="J268" i="1" a="1"/>
  <c r="J268" i="1" s="1"/>
  <c r="J269" i="1" a="1"/>
  <c r="J269" i="1" s="1"/>
  <c r="J270" i="1" a="1"/>
  <c r="J270" i="1"/>
  <c r="J271" i="1" a="1"/>
  <c r="J271" i="1" s="1"/>
  <c r="J272" i="1" a="1"/>
  <c r="J272" i="1" s="1"/>
  <c r="J273" i="1" a="1"/>
  <c r="J273" i="1" s="1"/>
  <c r="J274" i="1" a="1"/>
  <c r="J274" i="1"/>
  <c r="J275" i="1" a="1"/>
  <c r="J275" i="1" s="1"/>
  <c r="J276" i="1" a="1"/>
  <c r="J276" i="1" s="1"/>
  <c r="J277" i="1" a="1"/>
  <c r="J277" i="1" s="1"/>
  <c r="J278" i="1" a="1"/>
  <c r="J278" i="1" s="1"/>
  <c r="J279" i="1" a="1"/>
  <c r="J279" i="1" s="1"/>
  <c r="J280" i="1" a="1"/>
  <c r="J280" i="1" s="1"/>
  <c r="J281" i="1" a="1"/>
  <c r="J281" i="1" s="1"/>
  <c r="J282" i="1" a="1"/>
  <c r="J282" i="1"/>
  <c r="J283" i="1" a="1"/>
  <c r="J283" i="1" s="1"/>
  <c r="J284" i="1" a="1"/>
  <c r="J284" i="1" s="1"/>
  <c r="J285" i="1" a="1"/>
  <c r="J285" i="1" s="1"/>
  <c r="J286" i="1" a="1"/>
  <c r="J286" i="1" s="1"/>
  <c r="J287" i="1" a="1"/>
  <c r="J287" i="1" s="1"/>
  <c r="J288" i="1" a="1"/>
  <c r="J288" i="1" s="1"/>
  <c r="J289" i="1" a="1"/>
  <c r="J289" i="1" s="1"/>
  <c r="J290" i="1" a="1"/>
  <c r="J290" i="1"/>
  <c r="J291" i="1" a="1"/>
  <c r="J291" i="1" s="1"/>
  <c r="J292" i="1" a="1"/>
  <c r="J292" i="1" s="1"/>
  <c r="J293" i="1" a="1"/>
  <c r="J293" i="1" s="1"/>
  <c r="J294" i="1" a="1"/>
  <c r="J294" i="1" s="1"/>
  <c r="J295" i="1" a="1"/>
  <c r="J295" i="1" s="1"/>
  <c r="J296" i="1" a="1"/>
  <c r="J296" i="1" s="1"/>
  <c r="J297" i="1" a="1"/>
  <c r="J297" i="1" s="1"/>
  <c r="J298" i="1" a="1"/>
  <c r="J298" i="1"/>
  <c r="J299" i="1" a="1"/>
  <c r="J299" i="1" s="1"/>
  <c r="J300" i="1" a="1"/>
  <c r="J300" i="1" s="1"/>
  <c r="J301" i="1" a="1"/>
  <c r="J301" i="1" s="1"/>
  <c r="J302" i="1" a="1"/>
  <c r="J302" i="1"/>
  <c r="J303" i="1" a="1"/>
  <c r="J303" i="1" s="1"/>
  <c r="J304" i="1" a="1"/>
  <c r="J304" i="1" s="1"/>
  <c r="J305" i="1" a="1"/>
  <c r="J305" i="1" s="1"/>
  <c r="J306" i="1" a="1"/>
  <c r="J306" i="1"/>
  <c r="J307" i="1" a="1"/>
  <c r="J307" i="1" s="1"/>
  <c r="J308" i="1" a="1"/>
  <c r="J308" i="1" s="1"/>
  <c r="J309" i="1" a="1"/>
  <c r="J309" i="1" s="1"/>
  <c r="J310" i="1" a="1"/>
  <c r="J310" i="1" s="1"/>
  <c r="J311" i="1" a="1"/>
  <c r="J311" i="1" s="1"/>
  <c r="J312" i="1" a="1"/>
  <c r="J312" i="1" s="1"/>
  <c r="J313" i="1" a="1"/>
  <c r="J313" i="1" s="1"/>
  <c r="J314" i="1" a="1"/>
  <c r="J314" i="1"/>
  <c r="J315" i="1" a="1"/>
  <c r="J315" i="1" s="1"/>
  <c r="J316" i="1" a="1"/>
  <c r="J316" i="1" s="1"/>
  <c r="J317" i="1" a="1"/>
  <c r="J317" i="1" s="1"/>
  <c r="J318" i="1" a="1"/>
  <c r="J318" i="1" s="1"/>
  <c r="J319" i="1" a="1"/>
  <c r="J319" i="1"/>
  <c r="J320" i="1" a="1"/>
  <c r="J320" i="1" s="1"/>
  <c r="J321" i="1" a="1"/>
  <c r="J321" i="1" s="1"/>
  <c r="J322" i="1" a="1"/>
  <c r="J322" i="1" s="1"/>
  <c r="J323" i="1" a="1"/>
  <c r="J323" i="1" s="1"/>
  <c r="J324" i="1" a="1"/>
  <c r="J324" i="1" s="1"/>
  <c r="J325" i="1" a="1"/>
  <c r="J325" i="1" s="1"/>
  <c r="J326" i="1" a="1"/>
  <c r="J326" i="1" s="1"/>
  <c r="J327" i="1" a="1"/>
  <c r="J327" i="1" s="1"/>
  <c r="J328" i="1" a="1"/>
  <c r="J328" i="1" s="1"/>
  <c r="J329" i="1" a="1"/>
  <c r="J329" i="1" s="1"/>
  <c r="J330" i="1" a="1"/>
  <c r="J330" i="1"/>
  <c r="J331" i="1" a="1"/>
  <c r="J331" i="1" s="1"/>
  <c r="J332" i="1" a="1"/>
  <c r="J332" i="1" s="1"/>
  <c r="J333" i="1" a="1"/>
  <c r="J333" i="1" s="1"/>
  <c r="J334" i="1" a="1"/>
  <c r="J334" i="1" s="1"/>
  <c r="J335" i="1" a="1"/>
  <c r="J335" i="1"/>
  <c r="J336" i="1" a="1"/>
  <c r="J336" i="1" s="1"/>
  <c r="J337" i="1" a="1"/>
  <c r="J337" i="1" s="1"/>
  <c r="J338" i="1" a="1"/>
  <c r="J338" i="1" s="1"/>
  <c r="J339" i="1" a="1"/>
  <c r="J339" i="1" s="1"/>
  <c r="J340" i="1" a="1"/>
  <c r="J340" i="1" s="1"/>
  <c r="J341" i="1" a="1"/>
  <c r="J341" i="1" s="1"/>
  <c r="J342" i="1" a="1"/>
  <c r="J342" i="1" s="1"/>
  <c r="J343" i="1" a="1"/>
  <c r="J343" i="1" s="1"/>
  <c r="J344" i="1" a="1"/>
  <c r="J344" i="1" s="1"/>
  <c r="J345" i="1" a="1"/>
  <c r="J345" i="1"/>
  <c r="J346" i="1" a="1"/>
  <c r="J346" i="1" s="1"/>
  <c r="J347" i="1" a="1"/>
  <c r="J347" i="1" s="1"/>
  <c r="J348" i="1" a="1"/>
  <c r="J348" i="1" s="1"/>
  <c r="J349" i="1" a="1"/>
  <c r="J349" i="1"/>
  <c r="J350" i="1" a="1"/>
  <c r="J350" i="1" s="1"/>
  <c r="J351" i="1" a="1"/>
  <c r="J351" i="1" s="1"/>
  <c r="J352" i="1" a="1"/>
  <c r="J352" i="1" s="1"/>
  <c r="J353" i="1" a="1"/>
  <c r="J353" i="1"/>
  <c r="J354" i="1" a="1"/>
  <c r="J354" i="1" s="1"/>
  <c r="J355" i="1" a="1"/>
  <c r="J355" i="1" s="1"/>
  <c r="J356" i="1" a="1"/>
  <c r="J356" i="1" s="1"/>
  <c r="J357" i="1" a="1"/>
  <c r="J357" i="1"/>
  <c r="J358" i="1" a="1"/>
  <c r="J358" i="1" s="1"/>
  <c r="J359" i="1" a="1"/>
  <c r="J359" i="1" s="1"/>
  <c r="J360" i="1" a="1"/>
  <c r="J360" i="1" s="1"/>
  <c r="J361" i="1" a="1"/>
  <c r="J361" i="1"/>
  <c r="J362" i="1" a="1"/>
  <c r="J362" i="1" s="1"/>
  <c r="J363" i="1" a="1"/>
  <c r="J363" i="1" s="1"/>
  <c r="J364" i="1" a="1"/>
  <c r="J364" i="1" s="1"/>
  <c r="J365" i="1" a="1"/>
  <c r="J365" i="1"/>
  <c r="J366" i="1" a="1"/>
  <c r="J366" i="1" s="1"/>
  <c r="J367" i="1" a="1"/>
  <c r="J367" i="1" s="1"/>
  <c r="J368" i="1" a="1"/>
  <c r="J368" i="1" s="1"/>
  <c r="J369" i="1" a="1"/>
  <c r="J369" i="1"/>
  <c r="J370" i="1" a="1"/>
  <c r="J370" i="1" s="1"/>
  <c r="J371" i="1" a="1"/>
  <c r="J371" i="1" s="1"/>
  <c r="J372" i="1" a="1"/>
  <c r="J372" i="1" s="1"/>
  <c r="J373" i="1" a="1"/>
  <c r="J373" i="1"/>
  <c r="J374" i="1" a="1"/>
  <c r="J374" i="1" s="1"/>
  <c r="J375" i="1" a="1"/>
  <c r="J375" i="1" s="1"/>
  <c r="J376" i="1" a="1"/>
  <c r="J376" i="1" s="1"/>
  <c r="J377" i="1" a="1"/>
  <c r="J377" i="1"/>
  <c r="J378" i="1" a="1"/>
  <c r="J378" i="1" s="1"/>
  <c r="J379" i="1" a="1"/>
  <c r="J379" i="1" s="1"/>
  <c r="J380" i="1" a="1"/>
  <c r="J380" i="1" s="1"/>
  <c r="J381" i="1" a="1"/>
  <c r="J381" i="1"/>
  <c r="J382" i="1" a="1"/>
  <c r="J382" i="1" s="1"/>
  <c r="J383" i="1" a="1"/>
  <c r="J383" i="1" s="1"/>
  <c r="J384" i="1" a="1"/>
  <c r="J384" i="1" s="1"/>
  <c r="J385" i="1" a="1"/>
  <c r="J385" i="1"/>
  <c r="J386" i="1" a="1"/>
  <c r="J386" i="1" s="1"/>
  <c r="J387" i="1" a="1"/>
  <c r="J387" i="1" s="1"/>
  <c r="J388" i="1" a="1"/>
  <c r="J388" i="1" s="1"/>
  <c r="J389" i="1" a="1"/>
  <c r="J389" i="1"/>
  <c r="J390" i="1" a="1"/>
  <c r="J390" i="1" s="1"/>
  <c r="J391" i="1" a="1"/>
  <c r="J391" i="1" s="1"/>
  <c r="J392" i="1" a="1"/>
  <c r="J392" i="1" s="1"/>
  <c r="J393" i="1" a="1"/>
  <c r="J393" i="1"/>
  <c r="J394" i="1" a="1"/>
  <c r="J394" i="1" s="1"/>
  <c r="J395" i="1" a="1"/>
  <c r="J395" i="1" s="1"/>
  <c r="J396" i="1" a="1"/>
  <c r="J396" i="1" s="1"/>
  <c r="J397" i="1" a="1"/>
  <c r="J397" i="1"/>
  <c r="J398" i="1" a="1"/>
  <c r="J398" i="1" s="1"/>
  <c r="J399" i="1" a="1"/>
  <c r="J399" i="1" s="1"/>
  <c r="J400" i="1" a="1"/>
  <c r="J400" i="1" s="1"/>
  <c r="J401" i="1" a="1"/>
  <c r="J401" i="1"/>
  <c r="J402" i="1" a="1"/>
  <c r="J402" i="1" s="1"/>
  <c r="J403" i="1" a="1"/>
  <c r="J403" i="1" s="1"/>
  <c r="J404" i="1" a="1"/>
  <c r="J404" i="1" s="1"/>
  <c r="J405" i="1" a="1"/>
  <c r="J405" i="1"/>
  <c r="J406" i="1" a="1"/>
  <c r="J406" i="1" s="1"/>
  <c r="J407" i="1" a="1"/>
  <c r="J407" i="1" s="1"/>
  <c r="J408" i="1" a="1"/>
  <c r="J408" i="1" s="1"/>
  <c r="J409" i="1" a="1"/>
  <c r="J409" i="1"/>
  <c r="J410" i="1" a="1"/>
  <c r="J410" i="1" s="1"/>
  <c r="J411" i="1" a="1"/>
  <c r="J411" i="1" s="1"/>
  <c r="J412" i="1" a="1"/>
  <c r="J412" i="1" s="1"/>
  <c r="J413" i="1" a="1"/>
  <c r="J413" i="1"/>
  <c r="J414" i="1" a="1"/>
  <c r="J414" i="1" s="1"/>
  <c r="J415" i="1" a="1"/>
  <c r="J415" i="1" s="1"/>
  <c r="J416" i="1" a="1"/>
  <c r="J416" i="1" s="1"/>
  <c r="J417" i="1" a="1"/>
  <c r="J417" i="1"/>
  <c r="J418" i="1" a="1"/>
  <c r="J418" i="1" s="1"/>
  <c r="J419" i="1" a="1"/>
  <c r="J419" i="1" s="1"/>
  <c r="J420" i="1" a="1"/>
  <c r="J420" i="1" s="1"/>
  <c r="J421" i="1" a="1"/>
  <c r="J421" i="1" s="1"/>
  <c r="J422" i="1" a="1"/>
  <c r="J422" i="1" s="1"/>
  <c r="J423" i="1" a="1"/>
  <c r="J423" i="1" s="1"/>
  <c r="J424" i="1" a="1"/>
  <c r="J424" i="1" s="1"/>
  <c r="J425" i="1" a="1"/>
  <c r="J425" i="1"/>
  <c r="J426" i="1" a="1"/>
  <c r="J426" i="1" s="1"/>
  <c r="J427" i="1" a="1"/>
  <c r="J427" i="1" s="1"/>
  <c r="J428" i="1" a="1"/>
  <c r="J428" i="1" s="1"/>
  <c r="J429" i="1" a="1"/>
  <c r="J429" i="1" s="1"/>
  <c r="J430" i="1" a="1"/>
  <c r="J430" i="1" s="1"/>
  <c r="J431" i="1" a="1"/>
  <c r="J431" i="1" s="1"/>
  <c r="J432" i="1" a="1"/>
  <c r="J432" i="1" s="1"/>
  <c r="J433" i="1" a="1"/>
  <c r="J433" i="1" s="1"/>
  <c r="J434" i="1" a="1"/>
  <c r="J434" i="1" s="1"/>
  <c r="J435" i="1" a="1"/>
  <c r="J435" i="1" s="1"/>
  <c r="J436" i="1" a="1"/>
  <c r="J436" i="1" s="1"/>
  <c r="J437" i="1" a="1"/>
  <c r="J437" i="1" s="1"/>
  <c r="J438" i="1" a="1"/>
  <c r="J438" i="1" s="1"/>
  <c r="J439" i="1" a="1"/>
  <c r="J439" i="1" s="1"/>
  <c r="J440" i="1" a="1"/>
  <c r="J440" i="1" s="1"/>
  <c r="J441" i="1" a="1"/>
  <c r="J441" i="1" s="1"/>
  <c r="J442" i="1" a="1"/>
  <c r="J442" i="1" s="1"/>
  <c r="J443" i="1" a="1"/>
  <c r="J443" i="1" s="1"/>
  <c r="J444" i="1" a="1"/>
  <c r="J444" i="1" s="1"/>
  <c r="J445" i="1" a="1"/>
  <c r="J445" i="1" s="1"/>
  <c r="J446" i="1" a="1"/>
  <c r="J446" i="1" s="1"/>
  <c r="J447" i="1" a="1"/>
  <c r="J447" i="1" s="1"/>
  <c r="J448" i="1" a="1"/>
  <c r="J448" i="1" s="1"/>
  <c r="J449" i="1" a="1"/>
  <c r="J449" i="1" s="1"/>
  <c r="J450" i="1" a="1"/>
  <c r="J450" i="1" s="1"/>
  <c r="J451" i="1" a="1"/>
  <c r="J451" i="1" s="1"/>
  <c r="J452" i="1" a="1"/>
  <c r="J452" i="1" s="1"/>
  <c r="J453" i="1" a="1"/>
  <c r="J453" i="1" s="1"/>
  <c r="J454" i="1" a="1"/>
  <c r="J454" i="1" s="1"/>
  <c r="J455" i="1" a="1"/>
  <c r="J455" i="1" s="1"/>
  <c r="J456" i="1" a="1"/>
  <c r="J456" i="1" s="1"/>
  <c r="J457" i="1" a="1"/>
  <c r="J457" i="1" s="1"/>
  <c r="J458" i="1" a="1"/>
  <c r="J458" i="1" s="1"/>
  <c r="J459" i="1" a="1"/>
  <c r="J459" i="1" s="1"/>
  <c r="J460" i="1" a="1"/>
  <c r="J460" i="1" s="1"/>
  <c r="J461" i="1" a="1"/>
  <c r="J461" i="1" s="1"/>
  <c r="J462" i="1" a="1"/>
  <c r="J462" i="1" s="1"/>
  <c r="J463" i="1" a="1"/>
  <c r="J463" i="1" s="1"/>
  <c r="J464" i="1" a="1"/>
  <c r="J464" i="1" s="1"/>
  <c r="J465" i="1" a="1"/>
  <c r="J465" i="1" s="1"/>
  <c r="J466" i="1" a="1"/>
  <c r="J466" i="1" s="1"/>
  <c r="J467" i="1" a="1"/>
  <c r="J467" i="1" s="1"/>
  <c r="J468" i="1" a="1"/>
  <c r="J468" i="1" s="1"/>
  <c r="J469" i="1" a="1"/>
  <c r="J469" i="1" s="1"/>
  <c r="J470" i="1" a="1"/>
  <c r="J470" i="1" s="1"/>
  <c r="J471" i="1" a="1"/>
  <c r="J471" i="1" s="1"/>
  <c r="J472" i="1" a="1"/>
  <c r="J472" i="1" s="1"/>
  <c r="J473" i="1" a="1"/>
  <c r="J473" i="1" s="1"/>
  <c r="J474" i="1" a="1"/>
  <c r="J474" i="1" s="1"/>
  <c r="J475" i="1" a="1"/>
  <c r="J475" i="1" s="1"/>
  <c r="J476" i="1" a="1"/>
  <c r="J476" i="1" s="1"/>
  <c r="J477" i="1" a="1"/>
  <c r="J477" i="1" s="1"/>
  <c r="J478" i="1" a="1"/>
  <c r="J478" i="1" s="1"/>
  <c r="J479" i="1" a="1"/>
  <c r="J479" i="1" s="1"/>
  <c r="J480" i="1" a="1"/>
  <c r="J480" i="1" s="1"/>
  <c r="J481" i="1" a="1"/>
  <c r="J481" i="1" s="1"/>
  <c r="J482" i="1" a="1"/>
  <c r="J482" i="1" s="1"/>
  <c r="J483" i="1" a="1"/>
  <c r="J483" i="1" s="1"/>
  <c r="J484" i="1" a="1"/>
  <c r="J484" i="1" s="1"/>
  <c r="J485" i="1" a="1"/>
  <c r="J485" i="1" s="1"/>
  <c r="J486" i="1" a="1"/>
  <c r="J486" i="1" s="1"/>
  <c r="J487" i="1" a="1"/>
  <c r="J487" i="1" s="1"/>
  <c r="J488" i="1" a="1"/>
  <c r="J488" i="1" s="1"/>
  <c r="J489" i="1" a="1"/>
  <c r="J489" i="1" s="1"/>
  <c r="J490" i="1" a="1"/>
  <c r="J490" i="1" s="1"/>
  <c r="J491" i="1" a="1"/>
  <c r="J491" i="1" s="1"/>
  <c r="J492" i="1" a="1"/>
  <c r="J492" i="1" s="1"/>
  <c r="J493" i="1" a="1"/>
  <c r="J493" i="1" s="1"/>
  <c r="J494" i="1" a="1"/>
  <c r="J494" i="1" s="1"/>
  <c r="J495" i="1" a="1"/>
  <c r="J495" i="1" s="1"/>
  <c r="J496" i="1" a="1"/>
  <c r="J496" i="1" s="1"/>
  <c r="J497" i="1" a="1"/>
  <c r="J497" i="1" s="1"/>
  <c r="J498" i="1" a="1"/>
  <c r="J498" i="1" s="1"/>
  <c r="J499" i="1" a="1"/>
  <c r="J499" i="1" s="1"/>
  <c r="J500" i="1" a="1"/>
  <c r="J500" i="1" s="1"/>
  <c r="J501" i="1" a="1"/>
  <c r="J501" i="1" s="1"/>
  <c r="J502" i="1" a="1"/>
  <c r="J502" i="1" s="1"/>
  <c r="J503" i="1" a="1"/>
  <c r="J503" i="1" s="1"/>
  <c r="J504" i="1" a="1"/>
  <c r="J504" i="1" s="1"/>
  <c r="J505" i="1" a="1"/>
  <c r="J505" i="1" s="1"/>
  <c r="J2" i="1" a="1"/>
  <c r="J2" i="1" s="1"/>
  <c r="I3" i="1" a="1"/>
  <c r="I3" i="1" s="1"/>
  <c r="I4" i="1" a="1"/>
  <c r="I4" i="1" s="1"/>
  <c r="I5" i="1" a="1"/>
  <c r="I5" i="1" s="1"/>
  <c r="I6" i="1" a="1"/>
  <c r="I6" i="1"/>
  <c r="I7" i="1" a="1"/>
  <c r="I7" i="1" s="1"/>
  <c r="I8" i="1" a="1"/>
  <c r="I8" i="1" s="1"/>
  <c r="I9" i="1" a="1"/>
  <c r="I9" i="1" s="1"/>
  <c r="I10" i="1" a="1"/>
  <c r="I10" i="1" s="1"/>
  <c r="I11" i="1" a="1"/>
  <c r="I11" i="1" s="1"/>
  <c r="I12" i="1" a="1"/>
  <c r="I12" i="1" s="1"/>
  <c r="I13" i="1" a="1"/>
  <c r="I13" i="1" s="1"/>
  <c r="I14" i="1" a="1"/>
  <c r="I14" i="1" s="1"/>
  <c r="I15" i="1" a="1"/>
  <c r="I15" i="1" s="1"/>
  <c r="I16" i="1" a="1"/>
  <c r="I16" i="1" s="1"/>
  <c r="I17" i="1" a="1"/>
  <c r="I17" i="1" s="1"/>
  <c r="I18" i="1" a="1"/>
  <c r="I18" i="1" s="1"/>
  <c r="I19" i="1" a="1"/>
  <c r="I19" i="1" s="1"/>
  <c r="I20" i="1" a="1"/>
  <c r="I20" i="1" s="1"/>
  <c r="I21" i="1" a="1"/>
  <c r="I21" i="1" s="1"/>
  <c r="I22" i="1" a="1"/>
  <c r="I22" i="1" s="1"/>
  <c r="I23" i="1" a="1"/>
  <c r="I23" i="1" s="1"/>
  <c r="I24" i="1" a="1"/>
  <c r="I24" i="1" s="1"/>
  <c r="I25" i="1" a="1"/>
  <c r="I25" i="1" s="1"/>
  <c r="I26" i="1" a="1"/>
  <c r="I26" i="1" s="1"/>
  <c r="I27" i="1" a="1"/>
  <c r="I27" i="1" s="1"/>
  <c r="I28" i="1" a="1"/>
  <c r="I28" i="1" s="1"/>
  <c r="I29" i="1" a="1"/>
  <c r="I29" i="1" s="1"/>
  <c r="I30" i="1" a="1"/>
  <c r="I30" i="1" s="1"/>
  <c r="I31" i="1" a="1"/>
  <c r="I31" i="1" s="1"/>
  <c r="I32" i="1" a="1"/>
  <c r="I32" i="1" s="1"/>
  <c r="I33" i="1" a="1"/>
  <c r="I33" i="1" s="1"/>
  <c r="I34" i="1" a="1"/>
  <c r="I34" i="1" s="1"/>
  <c r="I35" i="1" a="1"/>
  <c r="I35" i="1" s="1"/>
  <c r="I36" i="1" a="1"/>
  <c r="I36" i="1" s="1"/>
  <c r="I37" i="1" a="1"/>
  <c r="I37" i="1" s="1"/>
  <c r="I38" i="1" a="1"/>
  <c r="I38" i="1" s="1"/>
  <c r="I39" i="1" a="1"/>
  <c r="I39" i="1" s="1"/>
  <c r="I40" i="1" a="1"/>
  <c r="I40" i="1" s="1"/>
  <c r="I41" i="1" a="1"/>
  <c r="I41" i="1" s="1"/>
  <c r="I42" i="1" a="1"/>
  <c r="I42" i="1" s="1"/>
  <c r="I43" i="1" a="1"/>
  <c r="I43" i="1" s="1"/>
  <c r="I44" i="1" a="1"/>
  <c r="I44" i="1" s="1"/>
  <c r="I45" i="1" a="1"/>
  <c r="I45" i="1" s="1"/>
  <c r="I46" i="1" a="1"/>
  <c r="I46" i="1" s="1"/>
  <c r="I47" i="1" a="1"/>
  <c r="I47" i="1" s="1"/>
  <c r="I48" i="1" a="1"/>
  <c r="I48" i="1" s="1"/>
  <c r="I49" i="1" a="1"/>
  <c r="I49" i="1" s="1"/>
  <c r="I50" i="1" a="1"/>
  <c r="I50" i="1" s="1"/>
  <c r="I51" i="1" a="1"/>
  <c r="I51" i="1" s="1"/>
  <c r="I52" i="1" a="1"/>
  <c r="I52" i="1" s="1"/>
  <c r="I53" i="1" a="1"/>
  <c r="I53" i="1" s="1"/>
  <c r="I54" i="1" a="1"/>
  <c r="I54" i="1" s="1"/>
  <c r="I55" i="1" a="1"/>
  <c r="I55" i="1" s="1"/>
  <c r="I56" i="1" a="1"/>
  <c r="I56" i="1" s="1"/>
  <c r="I57" i="1" a="1"/>
  <c r="I57" i="1" s="1"/>
  <c r="I58" i="1" a="1"/>
  <c r="I58" i="1" s="1"/>
  <c r="I59" i="1" a="1"/>
  <c r="I59" i="1" s="1"/>
  <c r="I60" i="1" a="1"/>
  <c r="I60" i="1" s="1"/>
  <c r="I61" i="1" a="1"/>
  <c r="I61" i="1" s="1"/>
  <c r="I62" i="1" a="1"/>
  <c r="I62" i="1" s="1"/>
  <c r="I63" i="1" a="1"/>
  <c r="I63" i="1" s="1"/>
  <c r="I64" i="1" a="1"/>
  <c r="I64" i="1" s="1"/>
  <c r="I65" i="1" a="1"/>
  <c r="I65" i="1" s="1"/>
  <c r="I66" i="1" a="1"/>
  <c r="I66" i="1" s="1"/>
  <c r="I67" i="1" a="1"/>
  <c r="I67" i="1" s="1"/>
  <c r="I68" i="1" a="1"/>
  <c r="I68" i="1" s="1"/>
  <c r="I69" i="1" a="1"/>
  <c r="I69" i="1" s="1"/>
  <c r="I70" i="1" a="1"/>
  <c r="I70" i="1" s="1"/>
  <c r="I71" i="1" a="1"/>
  <c r="I71" i="1" s="1"/>
  <c r="I72" i="1" a="1"/>
  <c r="I72" i="1" s="1"/>
  <c r="I73" i="1" a="1"/>
  <c r="I73" i="1" s="1"/>
  <c r="I74" i="1" a="1"/>
  <c r="I74" i="1" s="1"/>
  <c r="I75" i="1" a="1"/>
  <c r="I75" i="1" s="1"/>
  <c r="I76" i="1" a="1"/>
  <c r="I76" i="1" s="1"/>
  <c r="I77" i="1" a="1"/>
  <c r="I77" i="1" s="1"/>
  <c r="I78" i="1" a="1"/>
  <c r="I78" i="1" s="1"/>
  <c r="I79" i="1" a="1"/>
  <c r="I79" i="1" s="1"/>
  <c r="I80" i="1" a="1"/>
  <c r="I80" i="1" s="1"/>
  <c r="I81" i="1" a="1"/>
  <c r="I81" i="1" s="1"/>
  <c r="I82" i="1" a="1"/>
  <c r="I82" i="1" s="1"/>
  <c r="I83" i="1" a="1"/>
  <c r="I83" i="1" s="1"/>
  <c r="I84" i="1" a="1"/>
  <c r="I84" i="1" s="1"/>
  <c r="I85" i="1" a="1"/>
  <c r="I85" i="1" s="1"/>
  <c r="I86" i="1" a="1"/>
  <c r="I86" i="1" s="1"/>
  <c r="I87" i="1" a="1"/>
  <c r="I87" i="1" s="1"/>
  <c r="I88" i="1" a="1"/>
  <c r="I88" i="1" s="1"/>
  <c r="I89" i="1" a="1"/>
  <c r="I89" i="1" s="1"/>
  <c r="I90" i="1" a="1"/>
  <c r="I90" i="1" s="1"/>
  <c r="I91" i="1" a="1"/>
  <c r="I91" i="1" s="1"/>
  <c r="I92" i="1" a="1"/>
  <c r="I92" i="1" s="1"/>
  <c r="I93" i="1" a="1"/>
  <c r="I93" i="1" s="1"/>
  <c r="I94" i="1" a="1"/>
  <c r="I94" i="1" s="1"/>
  <c r="I95" i="1" a="1"/>
  <c r="I95" i="1" s="1"/>
  <c r="I96" i="1" a="1"/>
  <c r="I96" i="1" s="1"/>
  <c r="I97" i="1" a="1"/>
  <c r="I97" i="1" s="1"/>
  <c r="I98" i="1" a="1"/>
  <c r="I98" i="1" s="1"/>
  <c r="I99" i="1" a="1"/>
  <c r="I99" i="1" s="1"/>
  <c r="I100" i="1" a="1"/>
  <c r="I100" i="1" s="1"/>
  <c r="I101" i="1" a="1"/>
  <c r="I101" i="1" s="1"/>
  <c r="I102" i="1" a="1"/>
  <c r="I102" i="1" s="1"/>
  <c r="I103" i="1" a="1"/>
  <c r="I103" i="1" s="1"/>
  <c r="I104" i="1" a="1"/>
  <c r="I104" i="1" s="1"/>
  <c r="I105" i="1" a="1"/>
  <c r="I105" i="1" s="1"/>
  <c r="I106" i="1" a="1"/>
  <c r="I106" i="1" s="1"/>
  <c r="I107" i="1" a="1"/>
  <c r="I107" i="1" s="1"/>
  <c r="I108" i="1" a="1"/>
  <c r="I108" i="1" s="1"/>
  <c r="I109" i="1" a="1"/>
  <c r="I109" i="1" s="1"/>
  <c r="I110" i="1" a="1"/>
  <c r="I110" i="1" s="1"/>
  <c r="I111" i="1" a="1"/>
  <c r="I111" i="1" s="1"/>
  <c r="I112" i="1" a="1"/>
  <c r="I112" i="1" s="1"/>
  <c r="I113" i="1" a="1"/>
  <c r="I113" i="1" s="1"/>
  <c r="I114" i="1" a="1"/>
  <c r="I114" i="1" s="1"/>
  <c r="I115" i="1" a="1"/>
  <c r="I115" i="1" s="1"/>
  <c r="I116" i="1" a="1"/>
  <c r="I116" i="1" s="1"/>
  <c r="I117" i="1" a="1"/>
  <c r="I117" i="1" s="1"/>
  <c r="I118" i="1" a="1"/>
  <c r="I118" i="1" s="1"/>
  <c r="I119" i="1" a="1"/>
  <c r="I119" i="1" s="1"/>
  <c r="I120" i="1" a="1"/>
  <c r="I120" i="1" s="1"/>
  <c r="I121" i="1" a="1"/>
  <c r="I121" i="1" s="1"/>
  <c r="I122" i="1" a="1"/>
  <c r="I122" i="1" s="1"/>
  <c r="I123" i="1" a="1"/>
  <c r="I123" i="1" s="1"/>
  <c r="I124" i="1" a="1"/>
  <c r="I124" i="1" s="1"/>
  <c r="I125" i="1" a="1"/>
  <c r="I125" i="1" s="1"/>
  <c r="I126" i="1" a="1"/>
  <c r="I126" i="1" s="1"/>
  <c r="I127" i="1" a="1"/>
  <c r="I127" i="1" s="1"/>
  <c r="I128" i="1" a="1"/>
  <c r="I128" i="1" s="1"/>
  <c r="I129" i="1" a="1"/>
  <c r="I129" i="1" s="1"/>
  <c r="I130" i="1" a="1"/>
  <c r="I130" i="1" s="1"/>
  <c r="I131" i="1" a="1"/>
  <c r="I131" i="1" s="1"/>
  <c r="I132" i="1" a="1"/>
  <c r="I132" i="1" s="1"/>
  <c r="I133" i="1" a="1"/>
  <c r="I133" i="1" s="1"/>
  <c r="I134" i="1" a="1"/>
  <c r="I134" i="1" s="1"/>
  <c r="I135" i="1" a="1"/>
  <c r="I135" i="1" s="1"/>
  <c r="I136" i="1" a="1"/>
  <c r="I136" i="1" s="1"/>
  <c r="I137" i="1" a="1"/>
  <c r="I137" i="1" s="1"/>
  <c r="I138" i="1" a="1"/>
  <c r="I138" i="1" s="1"/>
  <c r="I139" i="1" a="1"/>
  <c r="I139" i="1" s="1"/>
  <c r="I140" i="1" a="1"/>
  <c r="I140" i="1" s="1"/>
  <c r="I141" i="1" a="1"/>
  <c r="I141" i="1" s="1"/>
  <c r="I142" i="1" a="1"/>
  <c r="I142" i="1" s="1"/>
  <c r="I143" i="1" a="1"/>
  <c r="I143" i="1" s="1"/>
  <c r="I144" i="1" a="1"/>
  <c r="I144" i="1" s="1"/>
  <c r="I145" i="1" a="1"/>
  <c r="I145" i="1" s="1"/>
  <c r="I146" i="1" a="1"/>
  <c r="I146" i="1" s="1"/>
  <c r="I147" i="1" a="1"/>
  <c r="I147" i="1" s="1"/>
  <c r="I148" i="1" a="1"/>
  <c r="I148" i="1" s="1"/>
  <c r="I149" i="1" a="1"/>
  <c r="I149" i="1" s="1"/>
  <c r="I150" i="1" a="1"/>
  <c r="I150" i="1" s="1"/>
  <c r="I151" i="1" a="1"/>
  <c r="I151" i="1" s="1"/>
  <c r="I152" i="1" a="1"/>
  <c r="I152" i="1" s="1"/>
  <c r="I153" i="1" a="1"/>
  <c r="I153" i="1" s="1"/>
  <c r="I154" i="1" a="1"/>
  <c r="I154" i="1" s="1"/>
  <c r="I155" i="1" a="1"/>
  <c r="I155" i="1" s="1"/>
  <c r="I156" i="1" a="1"/>
  <c r="I156" i="1" s="1"/>
  <c r="I157" i="1" a="1"/>
  <c r="I157" i="1" s="1"/>
  <c r="I158" i="1" a="1"/>
  <c r="I158" i="1" s="1"/>
  <c r="I159" i="1" a="1"/>
  <c r="I159" i="1" s="1"/>
  <c r="I160" i="1" a="1"/>
  <c r="I160" i="1" s="1"/>
  <c r="I161" i="1" a="1"/>
  <c r="I161" i="1" s="1"/>
  <c r="I162" i="1" a="1"/>
  <c r="I162" i="1" s="1"/>
  <c r="I163" i="1" a="1"/>
  <c r="I163" i="1" s="1"/>
  <c r="I164" i="1" a="1"/>
  <c r="I164" i="1" s="1"/>
  <c r="I165" i="1" a="1"/>
  <c r="I165" i="1" s="1"/>
  <c r="I166" i="1" a="1"/>
  <c r="I166" i="1" s="1"/>
  <c r="I167" i="1" a="1"/>
  <c r="I167" i="1" s="1"/>
  <c r="I168" i="1" a="1"/>
  <c r="I168" i="1" s="1"/>
  <c r="I169" i="1" a="1"/>
  <c r="I169" i="1" s="1"/>
  <c r="I170" i="1" a="1"/>
  <c r="I170" i="1" s="1"/>
  <c r="I171" i="1" a="1"/>
  <c r="I171" i="1" s="1"/>
  <c r="I172" i="1" a="1"/>
  <c r="I172" i="1" s="1"/>
  <c r="I173" i="1" a="1"/>
  <c r="I173" i="1" s="1"/>
  <c r="I174" i="1" a="1"/>
  <c r="I174" i="1" s="1"/>
  <c r="I175" i="1" a="1"/>
  <c r="I175" i="1" s="1"/>
  <c r="I176" i="1" a="1"/>
  <c r="I176" i="1" s="1"/>
  <c r="I177" i="1" a="1"/>
  <c r="I177" i="1" s="1"/>
  <c r="I178" i="1" a="1"/>
  <c r="I178" i="1" s="1"/>
  <c r="I179" i="1" a="1"/>
  <c r="I179" i="1" s="1"/>
  <c r="I180" i="1" a="1"/>
  <c r="I180" i="1" s="1"/>
  <c r="I181" i="1" a="1"/>
  <c r="I181" i="1" s="1"/>
  <c r="I182" i="1" a="1"/>
  <c r="I182" i="1" s="1"/>
  <c r="I183" i="1" a="1"/>
  <c r="I183" i="1" s="1"/>
  <c r="I184" i="1" a="1"/>
  <c r="I184" i="1" s="1"/>
  <c r="I185" i="1" a="1"/>
  <c r="I185" i="1" s="1"/>
  <c r="I186" i="1" a="1"/>
  <c r="I186" i="1" s="1"/>
  <c r="I187" i="1" a="1"/>
  <c r="I187" i="1" s="1"/>
  <c r="I188" i="1" a="1"/>
  <c r="I188" i="1" s="1"/>
  <c r="I189" i="1" a="1"/>
  <c r="I189" i="1" s="1"/>
  <c r="I190" i="1" a="1"/>
  <c r="I190" i="1" s="1"/>
  <c r="I191" i="1" a="1"/>
  <c r="I191" i="1" s="1"/>
  <c r="I192" i="1" a="1"/>
  <c r="I192" i="1" s="1"/>
  <c r="I193" i="1" a="1"/>
  <c r="I193" i="1" s="1"/>
  <c r="I194" i="1" a="1"/>
  <c r="I194" i="1" s="1"/>
  <c r="I195" i="1" a="1"/>
  <c r="I195" i="1" s="1"/>
  <c r="I196" i="1" a="1"/>
  <c r="I196" i="1" s="1"/>
  <c r="I197" i="1" a="1"/>
  <c r="I197" i="1" s="1"/>
  <c r="I198" i="1" a="1"/>
  <c r="I198" i="1" s="1"/>
  <c r="I199" i="1" a="1"/>
  <c r="I199" i="1" s="1"/>
  <c r="I200" i="1" a="1"/>
  <c r="I200" i="1" s="1"/>
  <c r="I201" i="1" a="1"/>
  <c r="I201" i="1" s="1"/>
  <c r="I202" i="1" a="1"/>
  <c r="I202" i="1" s="1"/>
  <c r="I203" i="1" a="1"/>
  <c r="I203" i="1" s="1"/>
  <c r="I204" i="1" a="1"/>
  <c r="I204" i="1" s="1"/>
  <c r="I205" i="1" a="1"/>
  <c r="I205" i="1" s="1"/>
  <c r="I206" i="1" a="1"/>
  <c r="I206" i="1" s="1"/>
  <c r="I207" i="1" a="1"/>
  <c r="I207" i="1" s="1"/>
  <c r="I208" i="1" a="1"/>
  <c r="I208" i="1" s="1"/>
  <c r="I209" i="1" a="1"/>
  <c r="I209" i="1" s="1"/>
  <c r="I210" i="1" a="1"/>
  <c r="I210" i="1" s="1"/>
  <c r="I211" i="1" a="1"/>
  <c r="I211" i="1" s="1"/>
  <c r="I212" i="1" a="1"/>
  <c r="I212" i="1" s="1"/>
  <c r="I213" i="1" a="1"/>
  <c r="I213" i="1" s="1"/>
  <c r="I214" i="1" a="1"/>
  <c r="I214" i="1" s="1"/>
  <c r="I215" i="1" a="1"/>
  <c r="I215" i="1" s="1"/>
  <c r="I216" i="1" a="1"/>
  <c r="I216" i="1" s="1"/>
  <c r="I217" i="1" a="1"/>
  <c r="I217" i="1" s="1"/>
  <c r="I218" i="1" a="1"/>
  <c r="I218" i="1" s="1"/>
  <c r="I219" i="1" a="1"/>
  <c r="I219" i="1" s="1"/>
  <c r="I220" i="1" a="1"/>
  <c r="I220" i="1" s="1"/>
  <c r="I221" i="1" a="1"/>
  <c r="I221" i="1" s="1"/>
  <c r="I222" i="1" a="1"/>
  <c r="I222" i="1" s="1"/>
  <c r="I223" i="1" a="1"/>
  <c r="I223" i="1" s="1"/>
  <c r="I224" i="1" a="1"/>
  <c r="I224" i="1" s="1"/>
  <c r="I225" i="1" a="1"/>
  <c r="I225" i="1" s="1"/>
  <c r="I226" i="1" a="1"/>
  <c r="I226" i="1" s="1"/>
  <c r="I227" i="1" a="1"/>
  <c r="I227" i="1" s="1"/>
  <c r="I228" i="1" a="1"/>
  <c r="I228" i="1" s="1"/>
  <c r="I229" i="1" a="1"/>
  <c r="I229" i="1" s="1"/>
  <c r="I230" i="1" a="1"/>
  <c r="I230" i="1" s="1"/>
  <c r="I231" i="1" a="1"/>
  <c r="I231" i="1" s="1"/>
  <c r="I232" i="1" a="1"/>
  <c r="I232" i="1" s="1"/>
  <c r="I233" i="1" a="1"/>
  <c r="I233" i="1" s="1"/>
  <c r="I234" i="1" a="1"/>
  <c r="I234" i="1" s="1"/>
  <c r="I235" i="1" a="1"/>
  <c r="I235" i="1" s="1"/>
  <c r="I236" i="1" a="1"/>
  <c r="I236" i="1" s="1"/>
  <c r="I237" i="1" a="1"/>
  <c r="I237" i="1" s="1"/>
  <c r="I238" i="1" a="1"/>
  <c r="I238" i="1" s="1"/>
  <c r="I239" i="1" a="1"/>
  <c r="I239" i="1" s="1"/>
  <c r="I240" i="1" a="1"/>
  <c r="I240" i="1" s="1"/>
  <c r="I241" i="1" a="1"/>
  <c r="I241" i="1" s="1"/>
  <c r="I242" i="1" a="1"/>
  <c r="I242" i="1" s="1"/>
  <c r="I243" i="1" a="1"/>
  <c r="I243" i="1" s="1"/>
  <c r="I244" i="1" a="1"/>
  <c r="I244" i="1" s="1"/>
  <c r="I245" i="1" a="1"/>
  <c r="I245" i="1" s="1"/>
  <c r="I246" i="1" a="1"/>
  <c r="I246" i="1" s="1"/>
  <c r="I247" i="1" a="1"/>
  <c r="I247" i="1" s="1"/>
  <c r="I248" i="1" a="1"/>
  <c r="I248" i="1" s="1"/>
  <c r="I249" i="1" a="1"/>
  <c r="I249" i="1" s="1"/>
  <c r="I250" i="1" a="1"/>
  <c r="I250" i="1" s="1"/>
  <c r="I251" i="1" a="1"/>
  <c r="I251" i="1" s="1"/>
  <c r="I252" i="1" a="1"/>
  <c r="I252" i="1" s="1"/>
  <c r="I253" i="1" a="1"/>
  <c r="I253" i="1" s="1"/>
  <c r="I254" i="1" a="1"/>
  <c r="I254" i="1" s="1"/>
  <c r="I255" i="1" a="1"/>
  <c r="I255" i="1" s="1"/>
  <c r="I256" i="1" a="1"/>
  <c r="I256" i="1" s="1"/>
  <c r="I257" i="1" a="1"/>
  <c r="I257" i="1" s="1"/>
  <c r="I258" i="1" a="1"/>
  <c r="I258" i="1" s="1"/>
  <c r="I259" i="1" a="1"/>
  <c r="I259" i="1" s="1"/>
  <c r="I260" i="1" a="1"/>
  <c r="I260" i="1" s="1"/>
  <c r="I261" i="1" a="1"/>
  <c r="I261" i="1" s="1"/>
  <c r="I262" i="1" a="1"/>
  <c r="I262" i="1" s="1"/>
  <c r="I263" i="1" a="1"/>
  <c r="I263" i="1" s="1"/>
  <c r="I264" i="1" a="1"/>
  <c r="I264" i="1" s="1"/>
  <c r="I265" i="1" a="1"/>
  <c r="I265" i="1" s="1"/>
  <c r="I266" i="1" a="1"/>
  <c r="I266" i="1" s="1"/>
  <c r="I267" i="1" a="1"/>
  <c r="I267" i="1" s="1"/>
  <c r="I268" i="1" a="1"/>
  <c r="I268" i="1" s="1"/>
  <c r="I269" i="1" a="1"/>
  <c r="I269" i="1" s="1"/>
  <c r="I270" i="1" a="1"/>
  <c r="I270" i="1" s="1"/>
  <c r="I271" i="1" a="1"/>
  <c r="I271" i="1" s="1"/>
  <c r="I272" i="1" a="1"/>
  <c r="I272" i="1" s="1"/>
  <c r="I273" i="1" a="1"/>
  <c r="I273" i="1" s="1"/>
  <c r="I274" i="1" a="1"/>
  <c r="I274" i="1" s="1"/>
  <c r="I275" i="1" a="1"/>
  <c r="I275" i="1" s="1"/>
  <c r="I276" i="1" a="1"/>
  <c r="I276" i="1" s="1"/>
  <c r="I277" i="1" a="1"/>
  <c r="I277" i="1" s="1"/>
  <c r="I278" i="1" a="1"/>
  <c r="I278" i="1" s="1"/>
  <c r="I279" i="1" a="1"/>
  <c r="I279" i="1" s="1"/>
  <c r="I280" i="1" a="1"/>
  <c r="I280" i="1" s="1"/>
  <c r="I281" i="1" a="1"/>
  <c r="I281" i="1" s="1"/>
  <c r="I282" i="1" a="1"/>
  <c r="I282" i="1" s="1"/>
  <c r="I283" i="1" a="1"/>
  <c r="I283" i="1" s="1"/>
  <c r="I284" i="1" a="1"/>
  <c r="I284" i="1" s="1"/>
  <c r="I285" i="1" a="1"/>
  <c r="I285" i="1" s="1"/>
  <c r="I286" i="1" a="1"/>
  <c r="I286" i="1" s="1"/>
  <c r="I287" i="1" a="1"/>
  <c r="I287" i="1" s="1"/>
  <c r="I288" i="1" a="1"/>
  <c r="I288" i="1" s="1"/>
  <c r="I289" i="1" a="1"/>
  <c r="I289" i="1" s="1"/>
  <c r="I290" i="1" a="1"/>
  <c r="I290" i="1" s="1"/>
  <c r="I291" i="1" a="1"/>
  <c r="I291" i="1" s="1"/>
  <c r="I292" i="1" a="1"/>
  <c r="I292" i="1" s="1"/>
  <c r="I293" i="1" a="1"/>
  <c r="I293" i="1" s="1"/>
  <c r="I294" i="1" a="1"/>
  <c r="I294" i="1" s="1"/>
  <c r="I295" i="1" a="1"/>
  <c r="I295" i="1" s="1"/>
  <c r="I296" i="1" a="1"/>
  <c r="I296" i="1" s="1"/>
  <c r="I297" i="1" a="1"/>
  <c r="I297" i="1" s="1"/>
  <c r="I298" i="1" a="1"/>
  <c r="I298" i="1" s="1"/>
  <c r="I299" i="1" a="1"/>
  <c r="I299" i="1" s="1"/>
  <c r="I300" i="1" a="1"/>
  <c r="I300" i="1" s="1"/>
  <c r="I301" i="1" a="1"/>
  <c r="I301" i="1" s="1"/>
  <c r="I302" i="1" a="1"/>
  <c r="I302" i="1" s="1"/>
  <c r="I303" i="1" a="1"/>
  <c r="I303" i="1" s="1"/>
  <c r="I304" i="1" a="1"/>
  <c r="I304" i="1" s="1"/>
  <c r="I305" i="1" a="1"/>
  <c r="I305" i="1" s="1"/>
  <c r="I306" i="1" a="1"/>
  <c r="I306" i="1" s="1"/>
  <c r="I307" i="1" a="1"/>
  <c r="I307" i="1" s="1"/>
  <c r="I308" i="1" a="1"/>
  <c r="I308" i="1" s="1"/>
  <c r="I309" i="1" a="1"/>
  <c r="I309" i="1" s="1"/>
  <c r="I310" i="1" a="1"/>
  <c r="I310" i="1" s="1"/>
  <c r="I311" i="1" a="1"/>
  <c r="I311" i="1" s="1"/>
  <c r="I312" i="1" a="1"/>
  <c r="I312" i="1" s="1"/>
  <c r="I313" i="1" a="1"/>
  <c r="I313" i="1" s="1"/>
  <c r="I314" i="1" a="1"/>
  <c r="I314" i="1" s="1"/>
  <c r="I315" i="1" a="1"/>
  <c r="I315" i="1" s="1"/>
  <c r="I316" i="1" a="1"/>
  <c r="I316" i="1" s="1"/>
  <c r="I317" i="1" a="1"/>
  <c r="I317" i="1" s="1"/>
  <c r="I318" i="1" a="1"/>
  <c r="I318" i="1" s="1"/>
  <c r="I319" i="1" a="1"/>
  <c r="I319" i="1" s="1"/>
  <c r="I320" i="1" a="1"/>
  <c r="I320" i="1" s="1"/>
  <c r="I321" i="1" a="1"/>
  <c r="I321" i="1" s="1"/>
  <c r="I322" i="1" a="1"/>
  <c r="I322" i="1" s="1"/>
  <c r="I323" i="1" a="1"/>
  <c r="I323" i="1" s="1"/>
  <c r="I324" i="1" a="1"/>
  <c r="I324" i="1" s="1"/>
  <c r="I325" i="1" a="1"/>
  <c r="I325" i="1" s="1"/>
  <c r="I326" i="1" a="1"/>
  <c r="I326" i="1" s="1"/>
  <c r="I327" i="1" a="1"/>
  <c r="I327" i="1" s="1"/>
  <c r="I328" i="1" a="1"/>
  <c r="I328" i="1" s="1"/>
  <c r="I329" i="1" a="1"/>
  <c r="I329" i="1" s="1"/>
  <c r="I330" i="1" a="1"/>
  <c r="I330" i="1" s="1"/>
  <c r="I331" i="1" a="1"/>
  <c r="I331" i="1" s="1"/>
  <c r="I332" i="1" a="1"/>
  <c r="I332" i="1" s="1"/>
  <c r="I333" i="1" a="1"/>
  <c r="I333" i="1" s="1"/>
  <c r="I334" i="1" a="1"/>
  <c r="I334" i="1" s="1"/>
  <c r="I335" i="1" a="1"/>
  <c r="I335" i="1" s="1"/>
  <c r="I336" i="1" a="1"/>
  <c r="I336" i="1" s="1"/>
  <c r="I337" i="1" a="1"/>
  <c r="I337" i="1" s="1"/>
  <c r="I338" i="1" a="1"/>
  <c r="I338" i="1" s="1"/>
  <c r="I339" i="1" a="1"/>
  <c r="I339" i="1" s="1"/>
  <c r="I340" i="1" a="1"/>
  <c r="I340" i="1" s="1"/>
  <c r="I341" i="1" a="1"/>
  <c r="I341" i="1" s="1"/>
  <c r="I342" i="1" a="1"/>
  <c r="I342" i="1" s="1"/>
  <c r="I343" i="1" a="1"/>
  <c r="I343" i="1" s="1"/>
  <c r="I344" i="1" a="1"/>
  <c r="I344" i="1" s="1"/>
  <c r="I345" i="1" a="1"/>
  <c r="I345" i="1" s="1"/>
  <c r="I346" i="1" a="1"/>
  <c r="I346" i="1" s="1"/>
  <c r="I347" i="1" a="1"/>
  <c r="I347" i="1" s="1"/>
  <c r="I348" i="1" a="1"/>
  <c r="I348" i="1" s="1"/>
  <c r="I349" i="1" a="1"/>
  <c r="I349" i="1" s="1"/>
  <c r="I350" i="1" a="1"/>
  <c r="I350" i="1" s="1"/>
  <c r="I351" i="1" a="1"/>
  <c r="I351" i="1" s="1"/>
  <c r="I352" i="1" a="1"/>
  <c r="I352" i="1" s="1"/>
  <c r="I353" i="1" a="1"/>
  <c r="I353" i="1" s="1"/>
  <c r="I354" i="1" a="1"/>
  <c r="I354" i="1" s="1"/>
  <c r="I355" i="1" a="1"/>
  <c r="I355" i="1" s="1"/>
  <c r="I356" i="1" a="1"/>
  <c r="I356" i="1" s="1"/>
  <c r="I357" i="1" a="1"/>
  <c r="I357" i="1" s="1"/>
  <c r="I358" i="1" a="1"/>
  <c r="I358" i="1" s="1"/>
  <c r="I359" i="1" a="1"/>
  <c r="I359" i="1" s="1"/>
  <c r="I360" i="1" a="1"/>
  <c r="I360" i="1" s="1"/>
  <c r="I361" i="1" a="1"/>
  <c r="I361" i="1" s="1"/>
  <c r="I362" i="1" a="1"/>
  <c r="I362" i="1" s="1"/>
  <c r="I363" i="1" a="1"/>
  <c r="I363" i="1" s="1"/>
  <c r="I364" i="1" a="1"/>
  <c r="I364" i="1" s="1"/>
  <c r="I365" i="1" a="1"/>
  <c r="I365" i="1" s="1"/>
  <c r="I366" i="1" a="1"/>
  <c r="I366" i="1" s="1"/>
  <c r="I367" i="1" a="1"/>
  <c r="I367" i="1" s="1"/>
  <c r="I368" i="1" a="1"/>
  <c r="I368" i="1" s="1"/>
  <c r="I369" i="1" a="1"/>
  <c r="I369" i="1" s="1"/>
  <c r="I370" i="1" a="1"/>
  <c r="I370" i="1" s="1"/>
  <c r="I371" i="1" a="1"/>
  <c r="I371" i="1" s="1"/>
  <c r="I372" i="1" a="1"/>
  <c r="I372" i="1" s="1"/>
  <c r="I373" i="1" a="1"/>
  <c r="I373" i="1" s="1"/>
  <c r="I374" i="1" a="1"/>
  <c r="I374" i="1" s="1"/>
  <c r="I375" i="1" a="1"/>
  <c r="I375" i="1" s="1"/>
  <c r="I376" i="1" a="1"/>
  <c r="I376" i="1" s="1"/>
  <c r="I377" i="1" a="1"/>
  <c r="I377" i="1" s="1"/>
  <c r="I378" i="1" a="1"/>
  <c r="I378" i="1" s="1"/>
  <c r="I379" i="1" a="1"/>
  <c r="I379" i="1" s="1"/>
  <c r="I380" i="1" a="1"/>
  <c r="I380" i="1" s="1"/>
  <c r="I381" i="1" a="1"/>
  <c r="I381" i="1" s="1"/>
  <c r="I382" i="1" a="1"/>
  <c r="I382" i="1" s="1"/>
  <c r="I383" i="1" a="1"/>
  <c r="I383" i="1" s="1"/>
  <c r="I384" i="1" a="1"/>
  <c r="I384" i="1" s="1"/>
  <c r="I385" i="1" a="1"/>
  <c r="I385" i="1" s="1"/>
  <c r="I386" i="1" a="1"/>
  <c r="I386" i="1" s="1"/>
  <c r="I387" i="1" a="1"/>
  <c r="I387" i="1" s="1"/>
  <c r="I388" i="1" a="1"/>
  <c r="I388" i="1" s="1"/>
  <c r="I389" i="1" a="1"/>
  <c r="I389" i="1" s="1"/>
  <c r="I390" i="1" a="1"/>
  <c r="I390" i="1" s="1"/>
  <c r="I391" i="1" a="1"/>
  <c r="I391" i="1" s="1"/>
  <c r="I392" i="1" a="1"/>
  <c r="I392" i="1" s="1"/>
  <c r="I393" i="1" a="1"/>
  <c r="I393" i="1" s="1"/>
  <c r="I394" i="1" a="1"/>
  <c r="I394" i="1" s="1"/>
  <c r="I395" i="1" a="1"/>
  <c r="I395" i="1" s="1"/>
  <c r="I396" i="1" a="1"/>
  <c r="I396" i="1" s="1"/>
  <c r="I397" i="1" a="1"/>
  <c r="I397" i="1" s="1"/>
  <c r="I398" i="1" a="1"/>
  <c r="I398" i="1" s="1"/>
  <c r="I399" i="1" a="1"/>
  <c r="I399" i="1" s="1"/>
  <c r="I400" i="1" a="1"/>
  <c r="I400" i="1" s="1"/>
  <c r="I401" i="1" a="1"/>
  <c r="I401" i="1" s="1"/>
  <c r="I402" i="1" a="1"/>
  <c r="I402" i="1" s="1"/>
  <c r="I403" i="1" a="1"/>
  <c r="I403" i="1" s="1"/>
  <c r="I404" i="1" a="1"/>
  <c r="I404" i="1" s="1"/>
  <c r="I405" i="1" a="1"/>
  <c r="I405" i="1" s="1"/>
  <c r="I406" i="1" a="1"/>
  <c r="I406" i="1" s="1"/>
  <c r="I407" i="1" a="1"/>
  <c r="I407" i="1" s="1"/>
  <c r="I408" i="1" a="1"/>
  <c r="I408" i="1" s="1"/>
  <c r="I409" i="1" a="1"/>
  <c r="I409" i="1" s="1"/>
  <c r="I410" i="1" a="1"/>
  <c r="I410" i="1" s="1"/>
  <c r="I411" i="1" a="1"/>
  <c r="I411" i="1" s="1"/>
  <c r="I412" i="1" a="1"/>
  <c r="I412" i="1" s="1"/>
  <c r="I413" i="1" a="1"/>
  <c r="I413" i="1" s="1"/>
  <c r="I414" i="1" a="1"/>
  <c r="I414" i="1" s="1"/>
  <c r="I415" i="1" a="1"/>
  <c r="I415" i="1" s="1"/>
  <c r="I416" i="1" a="1"/>
  <c r="I416" i="1" s="1"/>
  <c r="I417" i="1" a="1"/>
  <c r="I417" i="1" s="1"/>
  <c r="I418" i="1" a="1"/>
  <c r="I418" i="1" s="1"/>
  <c r="I419" i="1" a="1"/>
  <c r="I419" i="1" s="1"/>
  <c r="I420" i="1" a="1"/>
  <c r="I420" i="1" s="1"/>
  <c r="I421" i="1" a="1"/>
  <c r="I421" i="1" s="1"/>
  <c r="I422" i="1" a="1"/>
  <c r="I422" i="1" s="1"/>
  <c r="I423" i="1" a="1"/>
  <c r="I423" i="1" s="1"/>
  <c r="I424" i="1" a="1"/>
  <c r="I424" i="1" s="1"/>
  <c r="I425" i="1" a="1"/>
  <c r="I425" i="1" s="1"/>
  <c r="I426" i="1" a="1"/>
  <c r="I426" i="1" s="1"/>
  <c r="I427" i="1" a="1"/>
  <c r="I427" i="1" s="1"/>
  <c r="I428" i="1" a="1"/>
  <c r="I428" i="1" s="1"/>
  <c r="I429" i="1" a="1"/>
  <c r="I429" i="1" s="1"/>
  <c r="I430" i="1" a="1"/>
  <c r="I430" i="1" s="1"/>
  <c r="I431" i="1" a="1"/>
  <c r="I431" i="1" s="1"/>
  <c r="I432" i="1" a="1"/>
  <c r="I432" i="1" s="1"/>
  <c r="I433" i="1" a="1"/>
  <c r="I433" i="1" s="1"/>
  <c r="I434" i="1" a="1"/>
  <c r="I434" i="1" s="1"/>
  <c r="I435" i="1" a="1"/>
  <c r="I435" i="1" s="1"/>
  <c r="I436" i="1" a="1"/>
  <c r="I436" i="1" s="1"/>
  <c r="I437" i="1" a="1"/>
  <c r="I437" i="1" s="1"/>
  <c r="I438" i="1" a="1"/>
  <c r="I438" i="1" s="1"/>
  <c r="I439" i="1" a="1"/>
  <c r="I439" i="1" s="1"/>
  <c r="I440" i="1" a="1"/>
  <c r="I440" i="1" s="1"/>
  <c r="I441" i="1" a="1"/>
  <c r="I441" i="1" s="1"/>
  <c r="I442" i="1" a="1"/>
  <c r="I442" i="1" s="1"/>
  <c r="I443" i="1" a="1"/>
  <c r="I443" i="1" s="1"/>
  <c r="I444" i="1" a="1"/>
  <c r="I444" i="1" s="1"/>
  <c r="I445" i="1" a="1"/>
  <c r="I445" i="1" s="1"/>
  <c r="I446" i="1" a="1"/>
  <c r="I446" i="1" s="1"/>
  <c r="I447" i="1" a="1"/>
  <c r="I447" i="1" s="1"/>
  <c r="I448" i="1" a="1"/>
  <c r="I448" i="1" s="1"/>
  <c r="I449" i="1" a="1"/>
  <c r="I449" i="1" s="1"/>
  <c r="I450" i="1" a="1"/>
  <c r="I450" i="1" s="1"/>
  <c r="I451" i="1" a="1"/>
  <c r="I451" i="1" s="1"/>
  <c r="I452" i="1" a="1"/>
  <c r="I452" i="1" s="1"/>
  <c r="I453" i="1" a="1"/>
  <c r="I453" i="1" s="1"/>
  <c r="I454" i="1" a="1"/>
  <c r="I454" i="1" s="1"/>
  <c r="I455" i="1" a="1"/>
  <c r="I455" i="1" s="1"/>
  <c r="I456" i="1" a="1"/>
  <c r="I456" i="1" s="1"/>
  <c r="I457" i="1" a="1"/>
  <c r="I457" i="1" s="1"/>
  <c r="I458" i="1" a="1"/>
  <c r="I458" i="1" s="1"/>
  <c r="I459" i="1" a="1"/>
  <c r="I459" i="1" s="1"/>
  <c r="I460" i="1" a="1"/>
  <c r="I460" i="1" s="1"/>
  <c r="I461" i="1" a="1"/>
  <c r="I461" i="1" s="1"/>
  <c r="I462" i="1" a="1"/>
  <c r="I462" i="1" s="1"/>
  <c r="I463" i="1" a="1"/>
  <c r="I463" i="1" s="1"/>
  <c r="I464" i="1" a="1"/>
  <c r="I464" i="1" s="1"/>
  <c r="I465" i="1" a="1"/>
  <c r="I465" i="1" s="1"/>
  <c r="I466" i="1" a="1"/>
  <c r="I466" i="1" s="1"/>
  <c r="I467" i="1" a="1"/>
  <c r="I467" i="1" s="1"/>
  <c r="I468" i="1" a="1"/>
  <c r="I468" i="1" s="1"/>
  <c r="I469" i="1" a="1"/>
  <c r="I469" i="1" s="1"/>
  <c r="I470" i="1" a="1"/>
  <c r="I470" i="1" s="1"/>
  <c r="I471" i="1" a="1"/>
  <c r="I471" i="1" s="1"/>
  <c r="I472" i="1" a="1"/>
  <c r="I472" i="1" s="1"/>
  <c r="I473" i="1" a="1"/>
  <c r="I473" i="1" s="1"/>
  <c r="I474" i="1" a="1"/>
  <c r="I474" i="1" s="1"/>
  <c r="I475" i="1" a="1"/>
  <c r="I475" i="1" s="1"/>
  <c r="I476" i="1" a="1"/>
  <c r="I476" i="1" s="1"/>
  <c r="I477" i="1" a="1"/>
  <c r="I477" i="1" s="1"/>
  <c r="I478" i="1" a="1"/>
  <c r="I478" i="1" s="1"/>
  <c r="I479" i="1" a="1"/>
  <c r="I479" i="1" s="1"/>
  <c r="I480" i="1" a="1"/>
  <c r="I480" i="1" s="1"/>
  <c r="I481" i="1" a="1"/>
  <c r="I481" i="1" s="1"/>
  <c r="I482" i="1" a="1"/>
  <c r="I482" i="1" s="1"/>
  <c r="I483" i="1" a="1"/>
  <c r="I483" i="1" s="1"/>
  <c r="I484" i="1" a="1"/>
  <c r="I484" i="1" s="1"/>
  <c r="I485" i="1" a="1"/>
  <c r="I485" i="1" s="1"/>
  <c r="I486" i="1" a="1"/>
  <c r="I486" i="1" s="1"/>
  <c r="I487" i="1" a="1"/>
  <c r="I487" i="1" s="1"/>
  <c r="I488" i="1" a="1"/>
  <c r="I488" i="1" s="1"/>
  <c r="I489" i="1" a="1"/>
  <c r="I489" i="1" s="1"/>
  <c r="I490" i="1" a="1"/>
  <c r="I490" i="1" s="1"/>
  <c r="I491" i="1" a="1"/>
  <c r="I491" i="1" s="1"/>
  <c r="I492" i="1" a="1"/>
  <c r="I492" i="1" s="1"/>
  <c r="I493" i="1" a="1"/>
  <c r="I493" i="1" s="1"/>
  <c r="I494" i="1" a="1"/>
  <c r="I494" i="1" s="1"/>
  <c r="I495" i="1" a="1"/>
  <c r="I495" i="1" s="1"/>
  <c r="I496" i="1" a="1"/>
  <c r="I496" i="1" s="1"/>
  <c r="I497" i="1" a="1"/>
  <c r="I497" i="1" s="1"/>
  <c r="I498" i="1" a="1"/>
  <c r="I498" i="1" s="1"/>
  <c r="I499" i="1" a="1"/>
  <c r="I499" i="1" s="1"/>
  <c r="I500" i="1" a="1"/>
  <c r="I500" i="1" s="1"/>
  <c r="I501" i="1" a="1"/>
  <c r="I501" i="1" s="1"/>
  <c r="I502" i="1" a="1"/>
  <c r="I502" i="1" s="1"/>
  <c r="I503" i="1" a="1"/>
  <c r="I503" i="1" s="1"/>
  <c r="I504" i="1" a="1"/>
  <c r="I504" i="1" s="1"/>
  <c r="I505" i="1" a="1"/>
  <c r="I505" i="1" s="1"/>
  <c r="I2" i="1" a="1"/>
  <c r="I2" i="1" s="1"/>
  <c r="H3" i="1" a="1"/>
  <c r="H3" i="1" s="1"/>
  <c r="H4" i="1" a="1"/>
  <c r="H4" i="1"/>
  <c r="H5" i="1" a="1"/>
  <c r="H5" i="1" s="1"/>
  <c r="H6" i="1" a="1"/>
  <c r="H6" i="1"/>
  <c r="H7" i="1" a="1"/>
  <c r="H7" i="1" s="1"/>
  <c r="H8" i="1" a="1"/>
  <c r="H8" i="1" s="1"/>
  <c r="H9" i="1" a="1"/>
  <c r="H9" i="1" s="1"/>
  <c r="H10" i="1" a="1"/>
  <c r="H10" i="1" s="1"/>
  <c r="H11" i="1" a="1"/>
  <c r="H11" i="1" s="1"/>
  <c r="H12" i="1" a="1"/>
  <c r="H12" i="1" s="1"/>
  <c r="H13" i="1" a="1"/>
  <c r="H13" i="1" s="1"/>
  <c r="H14" i="1" a="1"/>
  <c r="H14" i="1"/>
  <c r="H15" i="1" a="1"/>
  <c r="H15" i="1" s="1"/>
  <c r="H16" i="1" a="1"/>
  <c r="H16" i="1" s="1"/>
  <c r="H17" i="1" a="1"/>
  <c r="H17" i="1" s="1"/>
  <c r="H18" i="1" a="1"/>
  <c r="H18" i="1"/>
  <c r="H19" i="1" a="1"/>
  <c r="H19" i="1" s="1"/>
  <c r="H20" i="1" a="1"/>
  <c r="H20" i="1" s="1"/>
  <c r="H21" i="1" a="1"/>
  <c r="H21" i="1" s="1"/>
  <c r="H22" i="1" a="1"/>
  <c r="H22" i="1"/>
  <c r="H23" i="1" a="1"/>
  <c r="H23" i="1" s="1"/>
  <c r="H24" i="1" a="1"/>
  <c r="H24" i="1" s="1"/>
  <c r="H25" i="1" a="1"/>
  <c r="H25" i="1" s="1"/>
  <c r="H26" i="1" a="1"/>
  <c r="H26" i="1" s="1"/>
  <c r="H27" i="1" a="1"/>
  <c r="H27" i="1" s="1"/>
  <c r="H28" i="1" a="1"/>
  <c r="H28" i="1" s="1"/>
  <c r="H29" i="1" a="1"/>
  <c r="H29" i="1" s="1"/>
  <c r="H30" i="1" a="1"/>
  <c r="H30" i="1"/>
  <c r="H31" i="1" a="1"/>
  <c r="H31" i="1" s="1"/>
  <c r="H32" i="1" a="1"/>
  <c r="H32" i="1" s="1"/>
  <c r="H33" i="1" a="1"/>
  <c r="H33" i="1" s="1"/>
  <c r="H34" i="1" a="1"/>
  <c r="H34" i="1"/>
  <c r="H35" i="1" a="1"/>
  <c r="H35" i="1" s="1"/>
  <c r="H36" i="1" a="1"/>
  <c r="H36" i="1"/>
  <c r="H37" i="1" a="1"/>
  <c r="H37" i="1" s="1"/>
  <c r="H38" i="1" a="1"/>
  <c r="H38" i="1"/>
  <c r="H39" i="1" a="1"/>
  <c r="H39" i="1" s="1"/>
  <c r="H40" i="1" a="1"/>
  <c r="H40" i="1" s="1"/>
  <c r="H41" i="1" a="1"/>
  <c r="H41" i="1" s="1"/>
  <c r="H42" i="1" a="1"/>
  <c r="H42" i="1" s="1"/>
  <c r="H43" i="1" a="1"/>
  <c r="H43" i="1" s="1"/>
  <c r="H44" i="1" a="1"/>
  <c r="H44" i="1" s="1"/>
  <c r="H45" i="1" a="1"/>
  <c r="H45" i="1" s="1"/>
  <c r="H46" i="1" a="1"/>
  <c r="H46" i="1"/>
  <c r="H47" i="1" a="1"/>
  <c r="H47" i="1" s="1"/>
  <c r="H48" i="1" a="1"/>
  <c r="H48" i="1" s="1"/>
  <c r="H49" i="1" a="1"/>
  <c r="H49" i="1" s="1"/>
  <c r="H50" i="1" a="1"/>
  <c r="H50" i="1"/>
  <c r="H51" i="1" a="1"/>
  <c r="H51" i="1" s="1"/>
  <c r="H52" i="1" a="1"/>
  <c r="H52" i="1"/>
  <c r="H53" i="1" a="1"/>
  <c r="H53" i="1" s="1"/>
  <c r="H54" i="1" a="1"/>
  <c r="H54" i="1"/>
  <c r="H55" i="1" a="1"/>
  <c r="H55" i="1" s="1"/>
  <c r="H56" i="1" a="1"/>
  <c r="H56" i="1" s="1"/>
  <c r="H57" i="1" a="1"/>
  <c r="H57" i="1" s="1"/>
  <c r="H58" i="1" a="1"/>
  <c r="H58" i="1" s="1"/>
  <c r="H59" i="1" a="1"/>
  <c r="H59" i="1" s="1"/>
  <c r="H60" i="1" a="1"/>
  <c r="H60" i="1" s="1"/>
  <c r="H61" i="1" a="1"/>
  <c r="H61" i="1" s="1"/>
  <c r="H62" i="1" a="1"/>
  <c r="H62" i="1"/>
  <c r="H63" i="1" a="1"/>
  <c r="H63" i="1" s="1"/>
  <c r="H64" i="1" a="1"/>
  <c r="H64" i="1" s="1"/>
  <c r="H65" i="1" a="1"/>
  <c r="H65" i="1" s="1"/>
  <c r="H66" i="1" a="1"/>
  <c r="H66" i="1"/>
  <c r="H67" i="1" a="1"/>
  <c r="H67" i="1" s="1"/>
  <c r="H68" i="1" a="1"/>
  <c r="H68" i="1"/>
  <c r="H69" i="1" a="1"/>
  <c r="H69" i="1" s="1"/>
  <c r="H70" i="1" a="1"/>
  <c r="H70" i="1"/>
  <c r="H71" i="1" a="1"/>
  <c r="H71" i="1" s="1"/>
  <c r="H72" i="1" a="1"/>
  <c r="H72" i="1" s="1"/>
  <c r="H73" i="1" a="1"/>
  <c r="H73" i="1" s="1"/>
  <c r="H74" i="1" a="1"/>
  <c r="H74" i="1" s="1"/>
  <c r="H75" i="1" a="1"/>
  <c r="H75" i="1" s="1"/>
  <c r="H76" i="1" a="1"/>
  <c r="H76" i="1" s="1"/>
  <c r="H77" i="1" a="1"/>
  <c r="H77" i="1" s="1"/>
  <c r="H78" i="1" a="1"/>
  <c r="H78" i="1"/>
  <c r="H79" i="1" a="1"/>
  <c r="H79" i="1" s="1"/>
  <c r="H80" i="1" a="1"/>
  <c r="H80" i="1" s="1"/>
  <c r="H81" i="1" a="1"/>
  <c r="H81" i="1" s="1"/>
  <c r="H82" i="1" a="1"/>
  <c r="H82" i="1"/>
  <c r="H83" i="1" a="1"/>
  <c r="H83" i="1" s="1"/>
  <c r="H84" i="1" a="1"/>
  <c r="H84" i="1" s="1"/>
  <c r="H85" i="1" a="1"/>
  <c r="H85" i="1" s="1"/>
  <c r="H86" i="1" a="1"/>
  <c r="H86" i="1"/>
  <c r="H87" i="1" a="1"/>
  <c r="H87" i="1" s="1"/>
  <c r="H88" i="1" a="1"/>
  <c r="H88" i="1" s="1"/>
  <c r="H89" i="1" a="1"/>
  <c r="H89" i="1" s="1"/>
  <c r="H90" i="1" a="1"/>
  <c r="H90" i="1" s="1"/>
  <c r="H91" i="1" a="1"/>
  <c r="H91" i="1" s="1"/>
  <c r="H92" i="1" a="1"/>
  <c r="H92" i="1" s="1"/>
  <c r="H93" i="1" a="1"/>
  <c r="H93" i="1" s="1"/>
  <c r="H94" i="1" a="1"/>
  <c r="H94" i="1"/>
  <c r="H95" i="1" a="1"/>
  <c r="H95" i="1" s="1"/>
  <c r="H96" i="1" a="1"/>
  <c r="H96" i="1" s="1"/>
  <c r="H97" i="1" a="1"/>
  <c r="H97" i="1" s="1"/>
  <c r="H98" i="1" a="1"/>
  <c r="H98" i="1"/>
  <c r="H99" i="1" a="1"/>
  <c r="H99" i="1" s="1"/>
  <c r="H100" i="1" a="1"/>
  <c r="H100" i="1"/>
  <c r="H101" i="1" a="1"/>
  <c r="H101" i="1" s="1"/>
  <c r="H102" i="1" a="1"/>
  <c r="H102" i="1"/>
  <c r="H103" i="1" a="1"/>
  <c r="H103" i="1" s="1"/>
  <c r="H104" i="1" a="1"/>
  <c r="H104" i="1" s="1"/>
  <c r="H105" i="1" a="1"/>
  <c r="H105" i="1" s="1"/>
  <c r="H106" i="1" a="1"/>
  <c r="H106" i="1" s="1"/>
  <c r="H107" i="1" a="1"/>
  <c r="H107" i="1" s="1"/>
  <c r="H108" i="1" a="1"/>
  <c r="H108" i="1" s="1"/>
  <c r="H109" i="1" a="1"/>
  <c r="H109" i="1" s="1"/>
  <c r="H110" i="1" a="1"/>
  <c r="H110" i="1"/>
  <c r="H111" i="1" a="1"/>
  <c r="H111" i="1" s="1"/>
  <c r="H112" i="1" a="1"/>
  <c r="H112" i="1" s="1"/>
  <c r="H113" i="1" a="1"/>
  <c r="H113" i="1" s="1"/>
  <c r="H114" i="1" a="1"/>
  <c r="H114" i="1"/>
  <c r="H115" i="1" a="1"/>
  <c r="H115" i="1" s="1"/>
  <c r="H116" i="1" a="1"/>
  <c r="H116" i="1"/>
  <c r="H117" i="1" a="1"/>
  <c r="H117" i="1" s="1"/>
  <c r="H118" i="1" a="1"/>
  <c r="H118" i="1"/>
  <c r="H119" i="1" a="1"/>
  <c r="H119" i="1" s="1"/>
  <c r="H120" i="1" a="1"/>
  <c r="H120" i="1" s="1"/>
  <c r="H121" i="1" a="1"/>
  <c r="H121" i="1" s="1"/>
  <c r="H122" i="1" a="1"/>
  <c r="H122" i="1" s="1"/>
  <c r="H123" i="1" a="1"/>
  <c r="H123" i="1" s="1"/>
  <c r="H124" i="1" a="1"/>
  <c r="H124" i="1" s="1"/>
  <c r="H125" i="1" a="1"/>
  <c r="H125" i="1" s="1"/>
  <c r="H126" i="1" a="1"/>
  <c r="H126" i="1"/>
  <c r="H127" i="1" a="1"/>
  <c r="H127" i="1" s="1"/>
  <c r="H128" i="1" a="1"/>
  <c r="H128" i="1" s="1"/>
  <c r="H129" i="1" a="1"/>
  <c r="H129" i="1" s="1"/>
  <c r="H130" i="1" a="1"/>
  <c r="H130" i="1"/>
  <c r="H131" i="1" a="1"/>
  <c r="H131" i="1" s="1"/>
  <c r="H132" i="1" a="1"/>
  <c r="H132" i="1"/>
  <c r="H133" i="1" a="1"/>
  <c r="H133" i="1" s="1"/>
  <c r="H134" i="1" a="1"/>
  <c r="H134" i="1"/>
  <c r="H135" i="1" a="1"/>
  <c r="H135" i="1" s="1"/>
  <c r="H136" i="1" a="1"/>
  <c r="H136" i="1" s="1"/>
  <c r="H137" i="1" a="1"/>
  <c r="H137" i="1" s="1"/>
  <c r="H138" i="1" a="1"/>
  <c r="H138" i="1" s="1"/>
  <c r="H139" i="1" a="1"/>
  <c r="H139" i="1" s="1"/>
  <c r="H140" i="1" a="1"/>
  <c r="H140" i="1" s="1"/>
  <c r="H141" i="1" a="1"/>
  <c r="H141" i="1" s="1"/>
  <c r="H142" i="1" a="1"/>
  <c r="H142" i="1"/>
  <c r="H143" i="1" a="1"/>
  <c r="H143" i="1" s="1"/>
  <c r="H144" i="1" a="1"/>
  <c r="H144" i="1" s="1"/>
  <c r="H145" i="1" a="1"/>
  <c r="H145" i="1" s="1"/>
  <c r="H146" i="1" a="1"/>
  <c r="H146" i="1"/>
  <c r="H147" i="1" a="1"/>
  <c r="H147" i="1" s="1"/>
  <c r="H148" i="1" a="1"/>
  <c r="H148" i="1"/>
  <c r="H149" i="1" a="1"/>
  <c r="H149" i="1" s="1"/>
  <c r="H150" i="1" a="1"/>
  <c r="H150" i="1"/>
  <c r="H151" i="1" a="1"/>
  <c r="H151" i="1" s="1"/>
  <c r="H152" i="1" a="1"/>
  <c r="H152" i="1" s="1"/>
  <c r="H153" i="1" a="1"/>
  <c r="H153" i="1" s="1"/>
  <c r="H154" i="1" a="1"/>
  <c r="H154" i="1" s="1"/>
  <c r="H155" i="1" a="1"/>
  <c r="H155" i="1" s="1"/>
  <c r="H156" i="1" a="1"/>
  <c r="H156" i="1" s="1"/>
  <c r="H157" i="1" a="1"/>
  <c r="H157" i="1" s="1"/>
  <c r="H158" i="1" a="1"/>
  <c r="H158" i="1"/>
  <c r="H159" i="1" a="1"/>
  <c r="H159" i="1" s="1"/>
  <c r="H160" i="1" a="1"/>
  <c r="H160" i="1" s="1"/>
  <c r="H161" i="1" a="1"/>
  <c r="H161" i="1" s="1"/>
  <c r="H162" i="1" a="1"/>
  <c r="H162" i="1"/>
  <c r="H163" i="1" a="1"/>
  <c r="H163" i="1" s="1"/>
  <c r="H164" i="1" a="1"/>
  <c r="H164" i="1"/>
  <c r="H165" i="1" a="1"/>
  <c r="H165" i="1" s="1"/>
  <c r="H166" i="1" a="1"/>
  <c r="H166" i="1"/>
  <c r="H167" i="1" a="1"/>
  <c r="H167" i="1" s="1"/>
  <c r="H168" i="1" a="1"/>
  <c r="H168" i="1" s="1"/>
  <c r="H169" i="1" a="1"/>
  <c r="H169" i="1" s="1"/>
  <c r="H170" i="1" a="1"/>
  <c r="H170" i="1" s="1"/>
  <c r="H171" i="1" a="1"/>
  <c r="H171" i="1" s="1"/>
  <c r="H172" i="1" a="1"/>
  <c r="H172" i="1"/>
  <c r="H173" i="1" a="1"/>
  <c r="H173" i="1" s="1"/>
  <c r="H174" i="1" a="1"/>
  <c r="H174" i="1"/>
  <c r="H175" i="1" a="1"/>
  <c r="H175" i="1" s="1"/>
  <c r="H176" i="1" a="1"/>
  <c r="H176" i="1" s="1"/>
  <c r="H177" i="1" a="1"/>
  <c r="H177" i="1" s="1"/>
  <c r="H178" i="1" a="1"/>
  <c r="H178" i="1"/>
  <c r="H179" i="1" a="1"/>
  <c r="H179" i="1" s="1"/>
  <c r="H180" i="1" a="1"/>
  <c r="H180" i="1"/>
  <c r="H181" i="1" a="1"/>
  <c r="H181" i="1" s="1"/>
  <c r="H182" i="1" a="1"/>
  <c r="H182" i="1"/>
  <c r="H183" i="1" a="1"/>
  <c r="H183" i="1" s="1"/>
  <c r="H184" i="1" a="1"/>
  <c r="H184" i="1" s="1"/>
  <c r="H185" i="1" a="1"/>
  <c r="H185" i="1" s="1"/>
  <c r="H186" i="1" a="1"/>
  <c r="H186" i="1" s="1"/>
  <c r="H187" i="1" a="1"/>
  <c r="H187" i="1" s="1"/>
  <c r="H188" i="1" a="1"/>
  <c r="H188" i="1"/>
  <c r="H189" i="1" a="1"/>
  <c r="H189" i="1" s="1"/>
  <c r="H190" i="1" a="1"/>
  <c r="H190" i="1"/>
  <c r="H191" i="1" a="1"/>
  <c r="H191" i="1" s="1"/>
  <c r="H192" i="1" a="1"/>
  <c r="H192" i="1" s="1"/>
  <c r="H193" i="1" a="1"/>
  <c r="H193" i="1" s="1"/>
  <c r="H194" i="1" a="1"/>
  <c r="H194" i="1"/>
  <c r="H195" i="1" a="1"/>
  <c r="H195" i="1" s="1"/>
  <c r="H196" i="1" a="1"/>
  <c r="H196" i="1"/>
  <c r="H197" i="1" a="1"/>
  <c r="H197" i="1" s="1"/>
  <c r="H198" i="1" a="1"/>
  <c r="H198" i="1"/>
  <c r="H199" i="1" a="1"/>
  <c r="H199" i="1" s="1"/>
  <c r="H200" i="1" a="1"/>
  <c r="H200" i="1" s="1"/>
  <c r="H201" i="1" a="1"/>
  <c r="H201" i="1" s="1"/>
  <c r="H202" i="1" a="1"/>
  <c r="H202" i="1"/>
  <c r="H203" i="1" a="1"/>
  <c r="H203" i="1" s="1"/>
  <c r="H204" i="1" a="1"/>
  <c r="H204" i="1"/>
  <c r="H205" i="1" a="1"/>
  <c r="H205" i="1" s="1"/>
  <c r="H206" i="1" a="1"/>
  <c r="H206" i="1"/>
  <c r="H207" i="1" a="1"/>
  <c r="H207" i="1" s="1"/>
  <c r="H208" i="1" a="1"/>
  <c r="H208" i="1" s="1"/>
  <c r="H209" i="1" a="1"/>
  <c r="H209" i="1" s="1"/>
  <c r="H210" i="1" a="1"/>
  <c r="H210" i="1"/>
  <c r="H211" i="1" a="1"/>
  <c r="H211" i="1" s="1"/>
  <c r="H212" i="1" a="1"/>
  <c r="H212" i="1"/>
  <c r="H213" i="1" a="1"/>
  <c r="H213" i="1" s="1"/>
  <c r="H214" i="1" a="1"/>
  <c r="H214" i="1"/>
  <c r="H215" i="1" a="1"/>
  <c r="H215" i="1" s="1"/>
  <c r="H216" i="1" a="1"/>
  <c r="H216" i="1" s="1"/>
  <c r="H217" i="1" a="1"/>
  <c r="H217" i="1" s="1"/>
  <c r="H218" i="1" a="1"/>
  <c r="H218" i="1"/>
  <c r="H219" i="1" a="1"/>
  <c r="H219" i="1" s="1"/>
  <c r="H220" i="1" a="1"/>
  <c r="H220" i="1"/>
  <c r="H221" i="1" a="1"/>
  <c r="H221" i="1" s="1"/>
  <c r="H222" i="1" a="1"/>
  <c r="H222" i="1"/>
  <c r="H223" i="1" a="1"/>
  <c r="H223" i="1" s="1"/>
  <c r="H224" i="1" a="1"/>
  <c r="H224" i="1" s="1"/>
  <c r="H225" i="1" a="1"/>
  <c r="H225" i="1" s="1"/>
  <c r="H226" i="1" a="1"/>
  <c r="H226" i="1"/>
  <c r="H227" i="1" a="1"/>
  <c r="H227" i="1" s="1"/>
  <c r="H228" i="1" a="1"/>
  <c r="H228" i="1"/>
  <c r="H229" i="1" a="1"/>
  <c r="H229" i="1" s="1"/>
  <c r="H230" i="1" a="1"/>
  <c r="H230" i="1"/>
  <c r="H231" i="1" a="1"/>
  <c r="H231" i="1" s="1"/>
  <c r="H232" i="1" a="1"/>
  <c r="H232" i="1" s="1"/>
  <c r="H233" i="1" a="1"/>
  <c r="H233" i="1" s="1"/>
  <c r="H234" i="1" a="1"/>
  <c r="H234" i="1"/>
  <c r="H235" i="1" a="1"/>
  <c r="H235" i="1" s="1"/>
  <c r="H236" i="1" a="1"/>
  <c r="H236" i="1"/>
  <c r="H237" i="1" a="1"/>
  <c r="H237" i="1" s="1"/>
  <c r="H238" i="1" a="1"/>
  <c r="H238" i="1"/>
  <c r="H239" i="1" a="1"/>
  <c r="H239" i="1" s="1"/>
  <c r="H240" i="1" a="1"/>
  <c r="H240" i="1" s="1"/>
  <c r="H241" i="1" a="1"/>
  <c r="H241" i="1" s="1"/>
  <c r="H242" i="1" a="1"/>
  <c r="H242" i="1"/>
  <c r="H243" i="1" a="1"/>
  <c r="H243" i="1" s="1"/>
  <c r="H244" i="1" a="1"/>
  <c r="H244" i="1"/>
  <c r="H245" i="1" a="1"/>
  <c r="H245" i="1" s="1"/>
  <c r="H246" i="1" a="1"/>
  <c r="H246" i="1"/>
  <c r="H247" i="1" a="1"/>
  <c r="H247" i="1" s="1"/>
  <c r="H248" i="1" a="1"/>
  <c r="H248" i="1" s="1"/>
  <c r="H249" i="1" a="1"/>
  <c r="H249" i="1" s="1"/>
  <c r="H250" i="1" a="1"/>
  <c r="H250" i="1" s="1"/>
  <c r="H251" i="1" a="1"/>
  <c r="H251" i="1" s="1"/>
  <c r="H252" i="1" a="1"/>
  <c r="H252" i="1"/>
  <c r="H253" i="1" a="1"/>
  <c r="H253" i="1" s="1"/>
  <c r="H254" i="1" a="1"/>
  <c r="H254" i="1"/>
  <c r="H255" i="1" a="1"/>
  <c r="H255" i="1" s="1"/>
  <c r="H256" i="1" a="1"/>
  <c r="H256" i="1" s="1"/>
  <c r="H257" i="1" a="1"/>
  <c r="H257" i="1" s="1"/>
  <c r="H258" i="1" a="1"/>
  <c r="H258" i="1"/>
  <c r="H259" i="1" a="1"/>
  <c r="H259" i="1" s="1"/>
  <c r="H260" i="1" a="1"/>
  <c r="H260" i="1"/>
  <c r="H261" i="1" a="1"/>
  <c r="H261" i="1" s="1"/>
  <c r="H262" i="1" a="1"/>
  <c r="H262" i="1"/>
  <c r="H263" i="1" a="1"/>
  <c r="H263" i="1" s="1"/>
  <c r="H264" i="1" a="1"/>
  <c r="H264" i="1" s="1"/>
  <c r="H265" i="1" a="1"/>
  <c r="H265" i="1" s="1"/>
  <c r="H266" i="1" a="1"/>
  <c r="H266" i="1" s="1"/>
  <c r="H267" i="1" a="1"/>
  <c r="H267" i="1" s="1"/>
  <c r="H268" i="1" a="1"/>
  <c r="H268" i="1"/>
  <c r="H269" i="1" a="1"/>
  <c r="H269" i="1" s="1"/>
  <c r="H270" i="1" a="1"/>
  <c r="H270" i="1"/>
  <c r="H271" i="1" a="1"/>
  <c r="H271" i="1" s="1"/>
  <c r="H272" i="1" a="1"/>
  <c r="H272" i="1" s="1"/>
  <c r="H273" i="1" a="1"/>
  <c r="H273" i="1" s="1"/>
  <c r="H274" i="1" a="1"/>
  <c r="H274" i="1"/>
  <c r="H275" i="1" a="1"/>
  <c r="H275" i="1" s="1"/>
  <c r="H276" i="1" a="1"/>
  <c r="H276" i="1"/>
  <c r="H277" i="1" a="1"/>
  <c r="H277" i="1" s="1"/>
  <c r="H278" i="1" a="1"/>
  <c r="H278" i="1"/>
  <c r="H279" i="1" a="1"/>
  <c r="H279" i="1" s="1"/>
  <c r="H280" i="1" a="1"/>
  <c r="H280" i="1" s="1"/>
  <c r="H281" i="1" a="1"/>
  <c r="H281" i="1" s="1"/>
  <c r="H282" i="1" a="1"/>
  <c r="H282" i="1" s="1"/>
  <c r="H283" i="1" a="1"/>
  <c r="H283" i="1" s="1"/>
  <c r="H284" i="1" a="1"/>
  <c r="H284" i="1"/>
  <c r="H285" i="1" a="1"/>
  <c r="H285" i="1" s="1"/>
  <c r="H286" i="1" a="1"/>
  <c r="H286" i="1"/>
  <c r="H287" i="1" a="1"/>
  <c r="H287" i="1" s="1"/>
  <c r="H288" i="1" a="1"/>
  <c r="H288" i="1" s="1"/>
  <c r="H289" i="1" a="1"/>
  <c r="H289" i="1" s="1"/>
  <c r="H290" i="1" a="1"/>
  <c r="H290" i="1"/>
  <c r="H291" i="1" a="1"/>
  <c r="H291" i="1" s="1"/>
  <c r="H292" i="1" a="1"/>
  <c r="H292" i="1"/>
  <c r="H293" i="1" a="1"/>
  <c r="H293" i="1" s="1"/>
  <c r="H294" i="1" a="1"/>
  <c r="H294" i="1"/>
  <c r="H295" i="1" a="1"/>
  <c r="H295" i="1" s="1"/>
  <c r="H296" i="1" a="1"/>
  <c r="H296" i="1" s="1"/>
  <c r="H297" i="1" a="1"/>
  <c r="H297" i="1" s="1"/>
  <c r="H298" i="1" a="1"/>
  <c r="H298" i="1" s="1"/>
  <c r="H299" i="1" a="1"/>
  <c r="H299" i="1" s="1"/>
  <c r="H300" i="1" a="1"/>
  <c r="H300" i="1"/>
  <c r="H301" i="1" a="1"/>
  <c r="H301" i="1" s="1"/>
  <c r="H302" i="1" a="1"/>
  <c r="H302" i="1"/>
  <c r="H303" i="1" a="1"/>
  <c r="H303" i="1" s="1"/>
  <c r="H304" i="1" a="1"/>
  <c r="H304" i="1" s="1"/>
  <c r="H305" i="1" a="1"/>
  <c r="H305" i="1" s="1"/>
  <c r="H306" i="1" a="1"/>
  <c r="H306" i="1"/>
  <c r="H307" i="1" a="1"/>
  <c r="H307" i="1" s="1"/>
  <c r="H308" i="1" a="1"/>
  <c r="H308" i="1"/>
  <c r="H309" i="1" a="1"/>
  <c r="H309" i="1" s="1"/>
  <c r="H310" i="1" a="1"/>
  <c r="H310" i="1"/>
  <c r="H311" i="1" a="1"/>
  <c r="H311" i="1" s="1"/>
  <c r="H312" i="1" a="1"/>
  <c r="H312" i="1" s="1"/>
  <c r="H313" i="1" a="1"/>
  <c r="H313" i="1" s="1"/>
  <c r="H314" i="1" a="1"/>
  <c r="H314" i="1" s="1"/>
  <c r="H315" i="1" a="1"/>
  <c r="H315" i="1" s="1"/>
  <c r="H316" i="1" a="1"/>
  <c r="H316" i="1"/>
  <c r="H317" i="1" a="1"/>
  <c r="H317" i="1" s="1"/>
  <c r="H318" i="1" a="1"/>
  <c r="H318" i="1"/>
  <c r="H319" i="1" a="1"/>
  <c r="H319" i="1" s="1"/>
  <c r="H320" i="1" a="1"/>
  <c r="H320" i="1" s="1"/>
  <c r="H321" i="1" a="1"/>
  <c r="H321" i="1" s="1"/>
  <c r="H322" i="1" a="1"/>
  <c r="H322" i="1"/>
  <c r="H323" i="1" a="1"/>
  <c r="H323" i="1" s="1"/>
  <c r="H324" i="1" a="1"/>
  <c r="H324" i="1"/>
  <c r="H325" i="1" a="1"/>
  <c r="H325" i="1" s="1"/>
  <c r="H326" i="1" a="1"/>
  <c r="H326" i="1"/>
  <c r="H327" i="1" a="1"/>
  <c r="H327" i="1" s="1"/>
  <c r="H328" i="1" a="1"/>
  <c r="H328" i="1" s="1"/>
  <c r="H329" i="1" a="1"/>
  <c r="H329" i="1" s="1"/>
  <c r="H330" i="1" a="1"/>
  <c r="H330" i="1" s="1"/>
  <c r="H331" i="1" a="1"/>
  <c r="H331" i="1" s="1"/>
  <c r="H332" i="1" a="1"/>
  <c r="H332" i="1" s="1"/>
  <c r="H333" i="1" a="1"/>
  <c r="H333" i="1" s="1"/>
  <c r="H334" i="1" a="1"/>
  <c r="H334" i="1"/>
  <c r="H335" i="1" a="1"/>
  <c r="H335" i="1" s="1"/>
  <c r="H336" i="1" a="1"/>
  <c r="H336" i="1" s="1"/>
  <c r="H337" i="1" a="1"/>
  <c r="H337" i="1" s="1"/>
  <c r="H338" i="1" a="1"/>
  <c r="H338" i="1"/>
  <c r="H339" i="1" a="1"/>
  <c r="H339" i="1" s="1"/>
  <c r="H340" i="1" a="1"/>
  <c r="H340" i="1"/>
  <c r="H341" i="1" a="1"/>
  <c r="H341" i="1" s="1"/>
  <c r="H342" i="1" a="1"/>
  <c r="H342" i="1"/>
  <c r="H343" i="1" a="1"/>
  <c r="H343" i="1"/>
  <c r="H344" i="1" a="1"/>
  <c r="H344" i="1"/>
  <c r="H345" i="1" a="1"/>
  <c r="H345" i="1" s="1"/>
  <c r="H346" i="1" a="1"/>
  <c r="H346" i="1"/>
  <c r="H347" i="1" a="1"/>
  <c r="H347" i="1"/>
  <c r="H348" i="1" a="1"/>
  <c r="H348" i="1"/>
  <c r="H349" i="1" a="1"/>
  <c r="H349" i="1" s="1"/>
  <c r="H350" i="1" a="1"/>
  <c r="H350" i="1"/>
  <c r="H351" i="1" a="1"/>
  <c r="H351" i="1"/>
  <c r="H352" i="1" a="1"/>
  <c r="H352" i="1"/>
  <c r="H353" i="1" a="1"/>
  <c r="H353" i="1" s="1"/>
  <c r="H354" i="1" a="1"/>
  <c r="H354" i="1"/>
  <c r="H355" i="1" a="1"/>
  <c r="H355" i="1"/>
  <c r="H356" i="1" a="1"/>
  <c r="H356" i="1"/>
  <c r="H357" i="1" a="1"/>
  <c r="H357" i="1" s="1"/>
  <c r="H358" i="1" a="1"/>
  <c r="H358" i="1"/>
  <c r="H359" i="1" a="1"/>
  <c r="H359" i="1"/>
  <c r="H360" i="1" a="1"/>
  <c r="H360" i="1"/>
  <c r="H361" i="1" a="1"/>
  <c r="H361" i="1" s="1"/>
  <c r="H362" i="1" a="1"/>
  <c r="H362" i="1"/>
  <c r="H363" i="1" a="1"/>
  <c r="H363" i="1"/>
  <c r="H364" i="1" a="1"/>
  <c r="H364" i="1"/>
  <c r="H365" i="1" a="1"/>
  <c r="H365" i="1" s="1"/>
  <c r="H366" i="1" a="1"/>
  <c r="H366" i="1"/>
  <c r="H367" i="1" a="1"/>
  <c r="H367" i="1"/>
  <c r="H368" i="1" a="1"/>
  <c r="H368" i="1"/>
  <c r="H369" i="1" a="1"/>
  <c r="H369" i="1" s="1"/>
  <c r="H370" i="1" a="1"/>
  <c r="H370" i="1"/>
  <c r="H371" i="1" a="1"/>
  <c r="H371" i="1"/>
  <c r="H372" i="1" a="1"/>
  <c r="H372" i="1"/>
  <c r="H373" i="1" a="1"/>
  <c r="H373" i="1" s="1"/>
  <c r="H374" i="1" a="1"/>
  <c r="H374" i="1" s="1"/>
  <c r="H375" i="1" a="1"/>
  <c r="H375" i="1" s="1"/>
  <c r="H376" i="1" a="1"/>
  <c r="H376" i="1"/>
  <c r="H377" i="1" a="1"/>
  <c r="H377" i="1" s="1"/>
  <c r="H378" i="1" a="1"/>
  <c r="H378" i="1" s="1"/>
  <c r="H379" i="1" a="1"/>
  <c r="H379" i="1" s="1"/>
  <c r="H380" i="1" a="1"/>
  <c r="H380" i="1"/>
  <c r="H381" i="1" a="1"/>
  <c r="H381" i="1" s="1"/>
  <c r="H382" i="1" a="1"/>
  <c r="H382" i="1" s="1"/>
  <c r="H383" i="1" a="1"/>
  <c r="H383" i="1" s="1"/>
  <c r="H384" i="1" a="1"/>
  <c r="H384" i="1"/>
  <c r="H385" i="1" a="1"/>
  <c r="H385" i="1" s="1"/>
  <c r="H386" i="1" a="1"/>
  <c r="H386" i="1" s="1"/>
  <c r="H387" i="1" a="1"/>
  <c r="H387" i="1" s="1"/>
  <c r="H388" i="1" a="1"/>
  <c r="H388" i="1" s="1"/>
  <c r="H389" i="1" a="1"/>
  <c r="H389" i="1" s="1"/>
  <c r="H390" i="1" a="1"/>
  <c r="H390" i="1" s="1"/>
  <c r="H391" i="1" a="1"/>
  <c r="H391" i="1" s="1"/>
  <c r="H392" i="1" a="1"/>
  <c r="H392" i="1" s="1"/>
  <c r="H393" i="1" a="1"/>
  <c r="H393" i="1" s="1"/>
  <c r="H394" i="1" a="1"/>
  <c r="H394" i="1" s="1"/>
  <c r="H395" i="1" a="1"/>
  <c r="H395" i="1" s="1"/>
  <c r="H396" i="1" a="1"/>
  <c r="H396" i="1" s="1"/>
  <c r="H397" i="1" a="1"/>
  <c r="H397" i="1" s="1"/>
  <c r="H398" i="1" a="1"/>
  <c r="H398" i="1" s="1"/>
  <c r="H399" i="1" a="1"/>
  <c r="H399" i="1" s="1"/>
  <c r="H400" i="1" a="1"/>
  <c r="H400" i="1" s="1"/>
  <c r="H401" i="1" a="1"/>
  <c r="H401" i="1" s="1"/>
  <c r="H402" i="1" a="1"/>
  <c r="H402" i="1" s="1"/>
  <c r="H403" i="1" a="1"/>
  <c r="H403" i="1" s="1"/>
  <c r="H404" i="1" a="1"/>
  <c r="H404" i="1" s="1"/>
  <c r="H405" i="1" a="1"/>
  <c r="H405" i="1" s="1"/>
  <c r="H406" i="1" a="1"/>
  <c r="H406" i="1" s="1"/>
  <c r="H407" i="1" a="1"/>
  <c r="H407" i="1" s="1"/>
  <c r="H408" i="1" a="1"/>
  <c r="H408" i="1" s="1"/>
  <c r="H409" i="1" a="1"/>
  <c r="H409" i="1" s="1"/>
  <c r="H410" i="1" a="1"/>
  <c r="H410" i="1" s="1"/>
  <c r="H411" i="1" a="1"/>
  <c r="H411" i="1" s="1"/>
  <c r="H412" i="1" a="1"/>
  <c r="H412" i="1" s="1"/>
  <c r="H413" i="1" a="1"/>
  <c r="H413" i="1" s="1"/>
  <c r="H414" i="1" a="1"/>
  <c r="H414" i="1" s="1"/>
  <c r="H415" i="1" a="1"/>
  <c r="H415" i="1" s="1"/>
  <c r="H416" i="1" a="1"/>
  <c r="H416" i="1" s="1"/>
  <c r="H417" i="1" a="1"/>
  <c r="H417" i="1" s="1"/>
  <c r="H418" i="1" a="1"/>
  <c r="H418" i="1" s="1"/>
  <c r="H419" i="1" a="1"/>
  <c r="H419" i="1" s="1"/>
  <c r="H420" i="1" a="1"/>
  <c r="H420" i="1" s="1"/>
  <c r="H421" i="1" a="1"/>
  <c r="H421" i="1" s="1"/>
  <c r="H422" i="1" a="1"/>
  <c r="H422" i="1" s="1"/>
  <c r="H423" i="1" a="1"/>
  <c r="H423" i="1" s="1"/>
  <c r="H424" i="1" a="1"/>
  <c r="H424" i="1" s="1"/>
  <c r="H425" i="1" a="1"/>
  <c r="H425" i="1" s="1"/>
  <c r="H426" i="1" a="1"/>
  <c r="H426" i="1" s="1"/>
  <c r="H427" i="1" a="1"/>
  <c r="H427" i="1" s="1"/>
  <c r="H428" i="1" a="1"/>
  <c r="H428" i="1" s="1"/>
  <c r="H429" i="1" a="1"/>
  <c r="H429" i="1" s="1"/>
  <c r="H430" i="1" a="1"/>
  <c r="H430" i="1" s="1"/>
  <c r="H431" i="1" a="1"/>
  <c r="H431" i="1" s="1"/>
  <c r="H432" i="1" a="1"/>
  <c r="H432" i="1" s="1"/>
  <c r="H433" i="1" a="1"/>
  <c r="H433" i="1" s="1"/>
  <c r="H434" i="1" a="1"/>
  <c r="H434" i="1" s="1"/>
  <c r="H435" i="1" a="1"/>
  <c r="H435" i="1" s="1"/>
  <c r="H436" i="1" a="1"/>
  <c r="H436" i="1" s="1"/>
  <c r="H437" i="1" a="1"/>
  <c r="H437" i="1" s="1"/>
  <c r="H438" i="1" a="1"/>
  <c r="H438" i="1" s="1"/>
  <c r="H439" i="1" a="1"/>
  <c r="H439" i="1" s="1"/>
  <c r="H440" i="1" a="1"/>
  <c r="H440" i="1" s="1"/>
  <c r="H441" i="1" a="1"/>
  <c r="H441" i="1" s="1"/>
  <c r="H442" i="1" a="1"/>
  <c r="H442" i="1" s="1"/>
  <c r="H443" i="1" a="1"/>
  <c r="H443" i="1" s="1"/>
  <c r="H444" i="1" a="1"/>
  <c r="H444" i="1" s="1"/>
  <c r="H445" i="1" a="1"/>
  <c r="H445" i="1" s="1"/>
  <c r="H446" i="1" a="1"/>
  <c r="H446" i="1" s="1"/>
  <c r="H447" i="1" a="1"/>
  <c r="H447" i="1" s="1"/>
  <c r="H448" i="1" a="1"/>
  <c r="H448" i="1" s="1"/>
  <c r="H449" i="1" a="1"/>
  <c r="H449" i="1" s="1"/>
  <c r="H450" i="1" a="1"/>
  <c r="H450" i="1" s="1"/>
  <c r="H451" i="1" a="1"/>
  <c r="H451" i="1" s="1"/>
  <c r="H452" i="1" a="1"/>
  <c r="H452" i="1" s="1"/>
  <c r="H453" i="1" a="1"/>
  <c r="H453" i="1" s="1"/>
  <c r="H454" i="1" a="1"/>
  <c r="H454" i="1" s="1"/>
  <c r="H455" i="1" a="1"/>
  <c r="H455" i="1" s="1"/>
  <c r="H456" i="1" a="1"/>
  <c r="H456" i="1" s="1"/>
  <c r="H457" i="1" a="1"/>
  <c r="H457" i="1" s="1"/>
  <c r="H458" i="1" a="1"/>
  <c r="H458" i="1" s="1"/>
  <c r="H459" i="1" a="1"/>
  <c r="H459" i="1" s="1"/>
  <c r="H460" i="1" a="1"/>
  <c r="H460" i="1" s="1"/>
  <c r="H461" i="1" a="1"/>
  <c r="H461" i="1" s="1"/>
  <c r="H462" i="1" a="1"/>
  <c r="H462" i="1" s="1"/>
  <c r="H463" i="1" a="1"/>
  <c r="H463" i="1" s="1"/>
  <c r="H464" i="1" a="1"/>
  <c r="H464" i="1" s="1"/>
  <c r="H465" i="1" a="1"/>
  <c r="H465" i="1" s="1"/>
  <c r="H466" i="1" a="1"/>
  <c r="H466" i="1" s="1"/>
  <c r="H467" i="1" a="1"/>
  <c r="H467" i="1" s="1"/>
  <c r="H468" i="1" a="1"/>
  <c r="H468" i="1" s="1"/>
  <c r="H469" i="1" a="1"/>
  <c r="H469" i="1" s="1"/>
  <c r="H470" i="1" a="1"/>
  <c r="H470" i="1" s="1"/>
  <c r="H471" i="1" a="1"/>
  <c r="H471" i="1" s="1"/>
  <c r="H472" i="1" a="1"/>
  <c r="H472" i="1" s="1"/>
  <c r="H473" i="1" a="1"/>
  <c r="H473" i="1" s="1"/>
  <c r="H474" i="1" a="1"/>
  <c r="H474" i="1" s="1"/>
  <c r="H475" i="1" a="1"/>
  <c r="H475" i="1" s="1"/>
  <c r="H476" i="1" a="1"/>
  <c r="H476" i="1" s="1"/>
  <c r="H477" i="1" a="1"/>
  <c r="H477" i="1" s="1"/>
  <c r="H478" i="1" a="1"/>
  <c r="H478" i="1" s="1"/>
  <c r="H479" i="1" a="1"/>
  <c r="H479" i="1" s="1"/>
  <c r="H480" i="1" a="1"/>
  <c r="H480" i="1" s="1"/>
  <c r="H481" i="1" a="1"/>
  <c r="H481" i="1" s="1"/>
  <c r="H482" i="1" a="1"/>
  <c r="H482" i="1" s="1"/>
  <c r="H483" i="1" a="1"/>
  <c r="H483" i="1" s="1"/>
  <c r="H484" i="1" a="1"/>
  <c r="H484" i="1" s="1"/>
  <c r="H485" i="1" a="1"/>
  <c r="H485" i="1" s="1"/>
  <c r="H486" i="1" a="1"/>
  <c r="H486" i="1" s="1"/>
  <c r="H487" i="1" a="1"/>
  <c r="H487" i="1" s="1"/>
  <c r="H488" i="1" a="1"/>
  <c r="H488" i="1" s="1"/>
  <c r="H489" i="1" a="1"/>
  <c r="H489" i="1" s="1"/>
  <c r="H490" i="1" a="1"/>
  <c r="H490" i="1" s="1"/>
  <c r="H491" i="1" a="1"/>
  <c r="H491" i="1" s="1"/>
  <c r="H492" i="1" a="1"/>
  <c r="H492" i="1" s="1"/>
  <c r="H493" i="1" a="1"/>
  <c r="H493" i="1" s="1"/>
  <c r="H494" i="1" a="1"/>
  <c r="H494" i="1" s="1"/>
  <c r="H495" i="1" a="1"/>
  <c r="H495" i="1" s="1"/>
  <c r="H496" i="1" a="1"/>
  <c r="H496" i="1" s="1"/>
  <c r="H497" i="1" a="1"/>
  <c r="H497" i="1" s="1"/>
  <c r="H498" i="1" a="1"/>
  <c r="H498" i="1" s="1"/>
  <c r="H499" i="1" a="1"/>
  <c r="H499" i="1" s="1"/>
  <c r="H500" i="1" a="1"/>
  <c r="H500" i="1" s="1"/>
  <c r="H501" i="1" a="1"/>
  <c r="H501" i="1" s="1"/>
  <c r="H502" i="1" a="1"/>
  <c r="H502" i="1" s="1"/>
  <c r="H503" i="1" a="1"/>
  <c r="H503" i="1" s="1"/>
  <c r="H504" i="1" a="1"/>
  <c r="H504" i="1" s="1"/>
  <c r="H505" i="1" a="1"/>
  <c r="H505" i="1" s="1"/>
  <c r="H2" i="1" a="1"/>
  <c r="H2" i="1" s="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<sst xmlns="http://schemas.openxmlformats.org/spreadsheetml/2006/main" count="1190" uniqueCount="127">
  <si>
    <t>Дата</t>
  </si>
  <si>
    <t>Территория</t>
  </si>
  <si>
    <t>Потери, руб</t>
  </si>
  <si>
    <t>Волгоград</t>
  </si>
  <si>
    <t>Екатеринбург</t>
  </si>
  <si>
    <t>Казань</t>
  </si>
  <si>
    <t>Кемерово</t>
  </si>
  <si>
    <t>Краснодар</t>
  </si>
  <si>
    <t>Москва Восток</t>
  </si>
  <si>
    <t>Москва Запад</t>
  </si>
  <si>
    <t>Нижний Новгород</t>
  </si>
  <si>
    <t>Новосибирск</t>
  </si>
  <si>
    <t>Пермь</t>
  </si>
  <si>
    <t>Ростов-на-Дону</t>
  </si>
  <si>
    <t>Самара</t>
  </si>
  <si>
    <t>Санкт-Петербург Север</t>
  </si>
  <si>
    <t>Санкт-Петербург Юг</t>
  </si>
  <si>
    <t>Уфа</t>
  </si>
  <si>
    <t>Тюмень</t>
  </si>
  <si>
    <t>Тольятти</t>
  </si>
  <si>
    <t>Томск</t>
  </si>
  <si>
    <t>Количество складов</t>
  </si>
  <si>
    <t>Количество заказов</t>
  </si>
  <si>
    <t>Товарооборот, руб</t>
  </si>
  <si>
    <t>Товарооборот, шт</t>
  </si>
  <si>
    <t>Товарооборот в себестоимости</t>
  </si>
  <si>
    <t>Количество клиентов</t>
  </si>
  <si>
    <t>warehouses (справочник складов)</t>
  </si>
  <si>
    <t>warehouse_id</t>
  </si>
  <si>
    <t>integer</t>
  </si>
  <si>
    <t>идентификатор склада</t>
  </si>
  <si>
    <t>name</t>
  </si>
  <si>
    <t>varchar</t>
  </si>
  <si>
    <t>наименование склада</t>
  </si>
  <si>
    <t>city</t>
  </si>
  <si>
    <t>город</t>
  </si>
  <si>
    <t>date_open</t>
  </si>
  <si>
    <t>date</t>
  </si>
  <si>
    <t>дата открытия склада</t>
  </si>
  <si>
    <t>date_close</t>
  </si>
  <si>
    <t>дата закрытия склада</t>
  </si>
  <si>
    <t>product (справочник товаров)</t>
  </si>
  <si>
    <t>product_id</t>
  </si>
  <si>
    <t>идентификатор товара</t>
  </si>
  <si>
    <t>наименование товара</t>
  </si>
  <si>
    <t>group1</t>
  </si>
  <si>
    <t>группа товаров 1 уровня</t>
  </si>
  <si>
    <t>group2</t>
  </si>
  <si>
    <t>группа товаров 2 уровня</t>
  </si>
  <si>
    <t>group3</t>
  </si>
  <si>
    <t>группа товаров 3 уровня</t>
  </si>
  <si>
    <t>weight</t>
  </si>
  <si>
    <t>decimal</t>
  </si>
  <si>
    <t>вес товара</t>
  </si>
  <si>
    <t>shelf_life</t>
  </si>
  <si>
    <t>срок годности товара в днях</t>
  </si>
  <si>
    <t>orders (заказы)</t>
  </si>
  <si>
    <t>order_id</t>
  </si>
  <si>
    <t>идентификатор заказа</t>
  </si>
  <si>
    <t>user_id</t>
  </si>
  <si>
    <t>идентификатор клиента</t>
  </si>
  <si>
    <t>datetime</t>
  </si>
  <si>
    <t>дата и время создания заказа</t>
  </si>
  <si>
    <t>paid_amount</t>
  </si>
  <si>
    <t>сумма заказа</t>
  </si>
  <si>
    <t>quantity</t>
  </si>
  <si>
    <t>количество единиц товаров в заказе</t>
  </si>
  <si>
    <t>order_line (состав заказа)</t>
  </si>
  <si>
    <t>price</t>
  </si>
  <si>
    <t>цена продажи</t>
  </si>
  <si>
    <t>regular_price</t>
  </si>
  <si>
    <t>регулярная цена</t>
  </si>
  <si>
    <t>cost_price</t>
  </si>
  <si>
    <t>цена в себестоимости</t>
  </si>
  <si>
    <t>количество единиц проданных товаров</t>
  </si>
  <si>
    <t>сумма продаж</t>
  </si>
  <si>
    <t>lost (потери)</t>
  </si>
  <si>
    <t>дата и время проведения потерь</t>
  </si>
  <si>
    <t>item_id</t>
  </si>
  <si>
    <t>потери в количестве</t>
  </si>
  <si>
    <t>amount</t>
  </si>
  <si>
    <t>сумма потерь</t>
  </si>
  <si>
    <r>
      <t>1.</t>
    </r>
    <r>
      <rPr>
        <sz val="7"/>
        <color theme="1"/>
        <rFont val="Times New Roman"/>
        <family val="1"/>
        <charset val="204"/>
      </rPr>
      <t xml:space="preserve">       </t>
    </r>
    <r>
      <rPr>
        <sz val="11"/>
        <color theme="1"/>
        <rFont val="Calibri"/>
        <family val="2"/>
        <charset val="204"/>
        <scheme val="minor"/>
      </rPr>
      <t>Вывести все товары, в наименовании которых содержится «самокат» (без учета регистра), и срок годности которых не превышает 7 суток.</t>
    </r>
  </si>
  <si>
    <t>Данные на выходе – наименование товара, срок годности</t>
  </si>
  <si>
    <r>
      <t>2.</t>
    </r>
    <r>
      <rPr>
        <sz val="7"/>
        <color theme="1"/>
        <rFont val="Times New Roman"/>
        <family val="1"/>
        <charset val="204"/>
      </rPr>
      <t xml:space="preserve">       </t>
    </r>
    <r>
      <rPr>
        <sz val="11"/>
        <color theme="1"/>
        <rFont val="Calibri"/>
        <family val="2"/>
        <charset val="204"/>
        <scheme val="minor"/>
      </rPr>
      <t>Посчитать количество работающих складов на текущую дату по каждому городу. Вывести только те города, у которых количество складов более 50.</t>
    </r>
  </si>
  <si>
    <t>Данные на выходе - город, количество складов</t>
  </si>
  <si>
    <t>Данные на выходе - город, количество складов, количество товаров с продажами на 1 склад</t>
  </si>
  <si>
    <t>Данные на выходе – город/компания, месяц, количество заказов, количество клиентов</t>
  </si>
  <si>
    <r>
      <t>5.</t>
    </r>
    <r>
      <rPr>
        <sz val="7"/>
        <color theme="1"/>
        <rFont val="Times New Roman"/>
        <family val="1"/>
        <charset val="204"/>
      </rPr>
      <t xml:space="preserve">       </t>
    </r>
    <r>
      <rPr>
        <sz val="11"/>
        <color theme="1"/>
        <rFont val="Calibri"/>
        <family val="2"/>
        <charset val="204"/>
        <scheme val="minor"/>
      </rPr>
      <t>Посчитать средний заказ в рублях по каждому складу за последние 14 дней, при этом вывести в алфавитном порядке наименования только тех складов, где средний заказ выше, чем средний заказ по городу.</t>
    </r>
  </si>
  <si>
    <t>Данные на выходе – наименование склада, город, средний заказ по складу, средний заказ по городу</t>
  </si>
  <si>
    <t>SQL</t>
  </si>
  <si>
    <t>1. Совместить данные 2-х листов - Лист1 и Лист2.</t>
  </si>
  <si>
    <t xml:space="preserve">2. Используя полученный массив сформировать сводную таблицу в разрезе недель (по системе ИСО) и Территорий. </t>
  </si>
  <si>
    <t>Необходимо написать sql запросы для выгрузки данных из базы ms sql используя следующие таблицы и учитывая их структуру:</t>
  </si>
  <si>
    <t>Москва</t>
  </si>
  <si>
    <t>null</t>
  </si>
  <si>
    <t>Рублевское шоссе</t>
  </si>
  <si>
    <t>Морс Самокат клюквенный, 500 мл</t>
  </si>
  <si>
    <t>Безалкогольные напитки</t>
  </si>
  <si>
    <t>Соковая продукция</t>
  </si>
  <si>
    <t>Морсы</t>
  </si>
  <si>
    <t>идентификатор статьи потерь. Например, списание по сроку годности - 146</t>
  </si>
  <si>
    <t>Тип поля</t>
  </si>
  <si>
    <t>Описание</t>
  </si>
  <si>
    <t>Пример</t>
  </si>
  <si>
    <t>Наименование</t>
  </si>
  <si>
    <r>
      <t>3.</t>
    </r>
    <r>
      <rPr>
        <sz val="7"/>
        <color theme="1"/>
        <rFont val="Times New Roman"/>
        <family val="1"/>
        <charset val="204"/>
      </rPr>
      <t xml:space="preserve">       </t>
    </r>
    <r>
      <rPr>
        <sz val="11"/>
        <color theme="1"/>
        <rFont val="Calibri"/>
        <family val="2"/>
        <charset val="204"/>
        <scheme val="minor"/>
      </rPr>
      <t>Посчитать среднее количество товаров (SKU) на 1 склад, которые продавались в июне 2020 года, данные вывести в разрезе городов.</t>
    </r>
  </si>
  <si>
    <t>Excel (решение задач можно оформить в свободной форме, главное оставить исходные формулы расчета)</t>
  </si>
  <si>
    <t xml:space="preserve">2.1. Найти топ-3 территорий по доле в общем товарообороте и топ-3 территорий по товарообороту на 1 склад за последнюю полную неделю. </t>
  </si>
  <si>
    <t xml:space="preserve">2.2. Расчитать наценку в % и доходность в % от товарооборота по всем территориям. </t>
  </si>
  <si>
    <t>№ недели</t>
  </si>
  <si>
    <t>Общий итог</t>
  </si>
  <si>
    <t xml:space="preserve"> Потери, руб</t>
  </si>
  <si>
    <t xml:space="preserve"> Количество клиентов</t>
  </si>
  <si>
    <t xml:space="preserve"> Товарооборот, шт</t>
  </si>
  <si>
    <t xml:space="preserve">  Товарооборот, руб</t>
  </si>
  <si>
    <t xml:space="preserve"> Товарооборот в себестоимости</t>
  </si>
  <si>
    <t xml:space="preserve">  Количество складов</t>
  </si>
  <si>
    <t xml:space="preserve"> Количество заказов</t>
  </si>
  <si>
    <t xml:space="preserve"> Наценка</t>
  </si>
  <si>
    <t xml:space="preserve"> Доходность</t>
  </si>
  <si>
    <t>Доля продаж</t>
  </si>
  <si>
    <t>Товарооборот на 1 склад</t>
  </si>
  <si>
    <t>Полная последняя неделя - 22</t>
  </si>
  <si>
    <t>3. Сформируйте краткую аналитическую записку-описание месячной динамики основных показателей, приведенных ниже на графиках. Какие ключевые моменты при этом отметили бы?</t>
  </si>
  <si>
    <t xml:space="preserve">В октябре 2019 видим, что увеличение числа клиентов привело к росту объема заказов и общему увеличению товарооборота.Несмотря на общий рост продаж, снижение средней стоимости приобретаемых товаров указывает на изменение структуры потребления. Возможно, покупатели переключились на менее дорогие позиции или акции привлекли больше клиентов, стимулируя покупку недорогих товаров.                                                                                                   В июне 2019 года наблюдался значительный рост количества потерь, это могло привести к уменьшению товарного остатка в следующем месяце, июле. Недостаточный ассортимент и дефицит товара спровоцировали уменьшение числа клиентов, что в свою очередь вызвало сокращение количества заказов и суммы товарооборота.    </t>
  </si>
  <si>
    <r>
      <t>4.</t>
    </r>
    <r>
      <rPr>
        <sz val="7"/>
        <color theme="1"/>
        <rFont val="Times New Roman"/>
        <family val="1"/>
        <charset val="204"/>
      </rPr>
      <t xml:space="preserve">       </t>
    </r>
    <r>
      <rPr>
        <sz val="11"/>
        <color theme="1"/>
        <rFont val="Calibri"/>
        <family val="2"/>
        <charset val="204"/>
        <scheme val="minor"/>
      </rPr>
      <t>Посчитать количество заказов и количество клиентов в разрезе месяцев за 2021 год по  каждому из городов.</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</si>
</sst>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yyyy\-mm\-dd;@"/>
    <numFmt numFmtId="166" formatCode="yyyy\-mm\-dd\ hh:mm:ss"/>
    <numFmt numFmtId="167" formatCode="0.0%"/>
  </numFmts>
  <fonts count="5" x14ac:knownFonts="1">
    <font>
      <sz val="11"/>
      <color theme="1"/>
      <name val="Calibri"/>
      <family val="2"/>
      <charset val="204"/>
      <scheme val="minor"/>
    </font>
    <font>
      <b/>
      <sz val="11"/>
      <color theme="0"/>
      <name val="Calibri"/>
      <family val="2"/>
      <charset val="204"/>
      <scheme val="minor"/>
    </font>
    <font>
      <sz val="7"/>
      <color theme="1"/>
      <name val="Times New Roman"/>
      <family val="1"/>
      <charset val="204"/>
    </font>
    <font>
      <b/>
      <sz val="11"/>
      <color theme="1"/>
      <name val="Calibri"/>
      <family val="2"/>
      <charset val="204"/>
      <scheme val="minor"/>
    </font>
    <font>
      <sz val="11"/>
      <color theme="1"/>
      <name val="Calibri"/>
      <family val="2"/>
      <charset val="204"/>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6" tint="0.79998168889431442"/>
        <bgColor indexed="64"/>
      </patternFill>
    </fill>
    <fill>
      <patternFill patternType="solid">
        <fgColor rgb="FF00B050"/>
        <bgColor indexed="64"/>
      </patternFill>
    </fill>
  </fills>
  <borders count="12">
    <border>
      <left/>
      <right/>
      <top/>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right/>
      <top/>
      <bottom style="thin">
        <color theme="4" tint="0.39997558519241921"/>
      </bottom>
      <diagonal/>
    </border>
  </borders>
  <cellStyleXfs count="2">
    <xf numFmtId="0" fontId="0" fillId="0" borderId="0"/>
    <xf numFmtId="9" fontId="4" fillId="0" borderId="0" applyFont="0" applyFill="0" applyBorder="0" applyAlignment="0" applyProtection="0"/>
  </cellStyleXfs>
  <cellXfs count="56">
    <xf numFmtId="0" fontId="0" fillId="0" borderId="0" xfId="0"/>
    <xf numFmtId="0" fontId="0" fillId="0" borderId="0" xfId="0" applyAlignment="1">
      <alignment vertical="center" wrapText="1"/>
    </xf>
    <xf numFmtId="164" fontId="0" fillId="0" borderId="0" xfId="0" applyNumberFormat="1"/>
    <xf numFmtId="0" fontId="0" fillId="0" borderId="1" xfId="0" applyBorder="1"/>
    <xf numFmtId="0" fontId="0" fillId="0" borderId="0" xfId="0" applyAlignment="1">
      <alignment vertical="center"/>
    </xf>
    <xf numFmtId="0" fontId="0" fillId="0" borderId="5" xfId="0" applyBorder="1" applyAlignment="1">
      <alignment vertical="center" wrapText="1"/>
    </xf>
    <xf numFmtId="0" fontId="0" fillId="0" borderId="6"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0" borderId="0" xfId="0" applyAlignment="1">
      <alignment horizontal="left" vertical="center" indent="5"/>
    </xf>
    <xf numFmtId="0" fontId="1" fillId="3" borderId="9" xfId="0" applyFont="1" applyFill="1" applyBorder="1" applyAlignment="1">
      <alignment vertical="center" wrapText="1"/>
    </xf>
    <xf numFmtId="0" fontId="1" fillId="3" borderId="4" xfId="0" applyFont="1" applyFill="1" applyBorder="1" applyAlignment="1">
      <alignment vertical="center" wrapText="1"/>
    </xf>
    <xf numFmtId="0" fontId="1" fillId="3" borderId="10" xfId="0" applyFont="1" applyFill="1" applyBorder="1" applyAlignment="1">
      <alignment vertical="center" wrapText="1"/>
    </xf>
    <xf numFmtId="164" fontId="0" fillId="2" borderId="9" xfId="0" applyNumberFormat="1" applyFill="1" applyBorder="1"/>
    <xf numFmtId="0" fontId="0" fillId="2" borderId="4" xfId="0" applyFill="1" applyBorder="1"/>
    <xf numFmtId="164" fontId="0" fillId="0" borderId="9" xfId="0" applyNumberFormat="1" applyBorder="1"/>
    <xf numFmtId="0" fontId="0" fillId="0" borderId="4" xfId="0" applyBorder="1"/>
    <xf numFmtId="164" fontId="0" fillId="0" borderId="2" xfId="0" applyNumberFormat="1" applyBorder="1"/>
    <xf numFmtId="165" fontId="0" fillId="0" borderId="8" xfId="0" applyNumberFormat="1" applyBorder="1" applyAlignment="1">
      <alignment vertical="center" wrapText="1"/>
    </xf>
    <xf numFmtId="166" fontId="0" fillId="0" borderId="8" xfId="0" applyNumberFormat="1" applyBorder="1" applyAlignment="1">
      <alignment vertical="center" wrapText="1"/>
    </xf>
    <xf numFmtId="166" fontId="0" fillId="0" borderId="5" xfId="0" applyNumberFormat="1" applyBorder="1" applyAlignment="1">
      <alignment vertical="center" wrapText="1"/>
    </xf>
    <xf numFmtId="0" fontId="0" fillId="4" borderId="5" xfId="0" applyFill="1" applyBorder="1" applyAlignment="1">
      <alignment vertical="center" wrapText="1"/>
    </xf>
    <xf numFmtId="0" fontId="0" fillId="4" borderId="6" xfId="0" applyFill="1" applyBorder="1" applyAlignment="1">
      <alignment vertical="center" wrapText="1"/>
    </xf>
    <xf numFmtId="0" fontId="3" fillId="0" borderId="0" xfId="0" applyFont="1"/>
    <xf numFmtId="0" fontId="1" fillId="3" borderId="11" xfId="0" applyFont="1" applyFill="1" applyBorder="1" applyAlignment="1">
      <alignment vertical="center" wrapText="1"/>
    </xf>
    <xf numFmtId="3" fontId="0" fillId="2" borderId="4" xfId="0" applyNumberFormat="1" applyFill="1" applyBorder="1"/>
    <xf numFmtId="3" fontId="0" fillId="0" borderId="4" xfId="0" applyNumberFormat="1" applyBorder="1"/>
    <xf numFmtId="3" fontId="0" fillId="0" borderId="1" xfId="0" applyNumberFormat="1" applyBorder="1"/>
    <xf numFmtId="4" fontId="0" fillId="2" borderId="4" xfId="0" applyNumberFormat="1" applyFill="1" applyBorder="1"/>
    <xf numFmtId="4" fontId="0" fillId="2" borderId="10" xfId="0" applyNumberFormat="1" applyFill="1" applyBorder="1"/>
    <xf numFmtId="4" fontId="0" fillId="0" borderId="4" xfId="0" applyNumberFormat="1" applyBorder="1"/>
    <xf numFmtId="4" fontId="0" fillId="0" borderId="10" xfId="0" applyNumberFormat="1" applyBorder="1"/>
    <xf numFmtId="4" fontId="0" fillId="0" borderId="1" xfId="0" applyNumberFormat="1" applyBorder="1"/>
    <xf numFmtId="4" fontId="0" fillId="0" borderId="3" xfId="0" applyNumberFormat="1" applyBorder="1"/>
    <xf numFmtId="1" fontId="1" fillId="3" borderId="9" xfId="0" applyNumberFormat="1" applyFont="1" applyFill="1" applyBorder="1" applyAlignment="1">
      <alignment vertical="center" wrapText="1"/>
    </xf>
    <xf numFmtId="1" fontId="0" fillId="2" borderId="9" xfId="0" applyNumberFormat="1" applyFill="1" applyBorder="1"/>
    <xf numFmtId="1" fontId="0" fillId="0" borderId="9" xfId="0" applyNumberFormat="1" applyBorder="1"/>
    <xf numFmtId="1" fontId="0" fillId="0" borderId="2" xfId="0" applyNumberFormat="1" applyBorder="1"/>
    <xf numFmtId="1" fontId="0" fillId="0" borderId="0" xfId="0" applyNumberFormat="1"/>
    <xf numFmtId="0" fontId="0" fillId="0" borderId="0" xfId="0" pivotButton="1"/>
    <xf numFmtId="0" fontId="0" fillId="0" borderId="0" xfId="0" applyAlignment="1">
      <alignment horizontal="left"/>
    </xf>
    <xf numFmtId="0" fontId="0" fillId="0" borderId="0" xfId="0" pivotButton="1" applyAlignment="1">
      <alignment horizontal="center" wrapText="1"/>
    </xf>
    <xf numFmtId="0" fontId="0" fillId="0" borderId="0" xfId="0" applyAlignment="1">
      <alignment horizontal="center" wrapText="1"/>
    </xf>
    <xf numFmtId="4" fontId="0" fillId="0" borderId="0" xfId="0" applyNumberFormat="1"/>
    <xf numFmtId="3" fontId="0" fillId="0" borderId="0" xfId="0" applyNumberFormat="1"/>
    <xf numFmtId="4" fontId="0" fillId="0" borderId="0" xfId="0" applyNumberFormat="1" applyAlignment="1">
      <alignment horizontal="left"/>
    </xf>
    <xf numFmtId="9" fontId="0" fillId="0" borderId="0" xfId="0" applyNumberFormat="1"/>
    <xf numFmtId="0" fontId="0" fillId="0" borderId="0" xfId="0" applyAlignment="1">
      <alignment horizontal="center" vertical="center"/>
    </xf>
    <xf numFmtId="0" fontId="0" fillId="0" borderId="0" xfId="0" applyAlignment="1">
      <alignment horizontal="center" vertical="center" wrapText="1"/>
    </xf>
    <xf numFmtId="0" fontId="3" fillId="2" borderId="11" xfId="0" applyFont="1" applyFill="1" applyBorder="1" applyAlignment="1">
      <alignment vertical="center" wrapText="1"/>
    </xf>
    <xf numFmtId="167" fontId="0" fillId="0" borderId="0" xfId="1" applyNumberFormat="1" applyFont="1"/>
    <xf numFmtId="1" fontId="0" fillId="0" borderId="0" xfId="0" applyNumberFormat="1" applyAlignment="1">
      <alignment horizontal="left"/>
    </xf>
    <xf numFmtId="167" fontId="0" fillId="5" borderId="0" xfId="1" applyNumberFormat="1" applyFont="1" applyFill="1"/>
    <xf numFmtId="4" fontId="0" fillId="5" borderId="0" xfId="0" applyNumberFormat="1" applyFill="1"/>
    <xf numFmtId="0" fontId="0" fillId="0" borderId="0" xfId="0" applyAlignment="1">
      <alignment horizontal="left" vertical="top" wrapText="1"/>
    </xf>
    <xf numFmtId="0" fontId="3" fillId="2" borderId="11" xfId="0" applyFont="1" applyFill="1" applyBorder="1" applyAlignment="1">
      <alignment horizontal="left" vertical="center" wrapText="1"/>
    </xf>
  </cellXfs>
  <cellStyles count="2">
    <cellStyle name="Обычный" xfId="0" builtinId="0"/>
    <cellStyle name="Процентный" xfId="1" builtinId="5"/>
  </cellStyles>
  <dxfs count="22">
    <dxf>
      <numFmt numFmtId="164" formatCode="yyyy\-mm\-dd"/>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Calibri"/>
        <family val="2"/>
        <charset val="204"/>
        <scheme val="minor"/>
      </font>
      <fill>
        <patternFill patternType="solid">
          <fgColor theme="4"/>
          <bgColor theme="4"/>
        </patternFill>
      </fill>
      <alignment horizontal="general" vertical="center" textRotation="0" wrapText="1" indent="0" justifyLastLine="0" shrinkToFit="0" readingOrder="0"/>
    </dxf>
    <dxf>
      <alignment horizontal="center" vertical="center"/>
    </dxf>
    <dxf>
      <numFmt numFmtId="13" formatCode="0%"/>
    </dxf>
    <dxf>
      <alignment vertical="center"/>
    </dxf>
    <dxf>
      <alignment vertical="center"/>
    </dxf>
    <dxf>
      <alignment horizontal="center"/>
    </dxf>
    <dxf>
      <numFmt numFmtId="13" formatCode="0%"/>
    </dxf>
    <dxf>
      <numFmt numFmtId="3" formatCode="#,##0"/>
    </dxf>
    <dxf>
      <numFmt numFmtId="3" formatCode="#,##0"/>
    </dxf>
    <dxf>
      <numFmt numFmtId="4" formatCode="#,##0.00"/>
    </dxf>
    <dxf>
      <numFmt numFmtId="4" formatCode="#,##0.00"/>
    </dxf>
    <dxf>
      <numFmt numFmtId="3" formatCode="#,##0"/>
    </dxf>
    <dxf>
      <numFmt numFmtId="3" formatCode="#,##0"/>
    </dxf>
    <dxf>
      <numFmt numFmtId="3" formatCode="#,##0"/>
    </dxf>
    <dxf>
      <numFmt numFmtId="4" formatCode="#,##0.00"/>
    </dxf>
    <dxf>
      <alignment horizontal="center"/>
    </dxf>
    <dxf>
      <alignment horizontal="center"/>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товарооборот с</a:t>
            </a:r>
            <a:r>
              <a:rPr lang="ru-RU" baseline="0"/>
              <a:t> 1 склада, тыс.руб.</a:t>
            </a:r>
            <a:endParaRPr lang="ru-R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7C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7C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7C80"/>
          </a:solidFill>
          <a:ln>
            <a:noFill/>
          </a:ln>
          <a:effectLst/>
        </c:spPr>
      </c:pivotFmt>
      <c:pivotFmt>
        <c:idx val="10"/>
        <c:spPr>
          <a:solidFill>
            <a:srgbClr val="FF7C80"/>
          </a:solidFill>
          <a:ln>
            <a:noFill/>
          </a:ln>
          <a:effectLst/>
        </c:spPr>
      </c:pivotFmt>
      <c:pivotFmt>
        <c:idx val="11"/>
        <c:spPr>
          <a:solidFill>
            <a:srgbClr val="FF7C80"/>
          </a:solidFill>
          <a:ln>
            <a:noFill/>
          </a:ln>
          <a:effectLst/>
        </c:spPr>
      </c:pivotFmt>
      <c:pivotFmt>
        <c:idx val="12"/>
        <c:spPr>
          <a:solidFill>
            <a:srgbClr val="FF7C80"/>
          </a:solidFill>
          <a:ln>
            <a:noFill/>
          </a:ln>
          <a:effectLst/>
        </c:spPr>
      </c:pivotFmt>
      <c:pivotFmt>
        <c:idx val="13"/>
        <c:spPr>
          <a:solidFill>
            <a:srgbClr val="FF7C80"/>
          </a:solidFill>
          <a:ln>
            <a:noFill/>
          </a:ln>
          <a:effectLst/>
        </c:spPr>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v>Дельта MoM</c:v>
          </c:tx>
          <c:spPr>
            <a:solidFill>
              <a:schemeClr val="accent6"/>
            </a:solidFill>
            <a:ln>
              <a:noFill/>
            </a:ln>
            <a:effectLst/>
          </c:spPr>
          <c:invertIfNegative val="0"/>
          <c:dPt>
            <c:idx val="1"/>
            <c:invertIfNegative val="0"/>
            <c:bubble3D val="0"/>
            <c:extLst>
              <c:ext xmlns:c16="http://schemas.microsoft.com/office/drawing/2014/chart" uri="{C3380CC4-5D6E-409C-BE32-E72D297353CC}">
                <c16:uniqueId val="{00000000-6182-4A8B-BA73-76A10641998F}"/>
              </c:ext>
            </c:extLst>
          </c:dPt>
          <c:dPt>
            <c:idx val="2"/>
            <c:invertIfNegative val="0"/>
            <c:bubble3D val="0"/>
            <c:extLst>
              <c:ext xmlns:c16="http://schemas.microsoft.com/office/drawing/2014/chart" uri="{C3380CC4-5D6E-409C-BE32-E72D297353CC}">
                <c16:uniqueId val="{00000001-6182-4A8B-BA73-76A10641998F}"/>
              </c:ext>
            </c:extLst>
          </c:dPt>
          <c:dPt>
            <c:idx val="3"/>
            <c:invertIfNegative val="0"/>
            <c:bubble3D val="0"/>
            <c:extLst>
              <c:ext xmlns:c16="http://schemas.microsoft.com/office/drawing/2014/chart" uri="{C3380CC4-5D6E-409C-BE32-E72D297353CC}">
                <c16:uniqueId val="{00000002-6182-4A8B-BA73-76A10641998F}"/>
              </c:ext>
            </c:extLst>
          </c:dPt>
          <c:dPt>
            <c:idx val="10"/>
            <c:invertIfNegative val="0"/>
            <c:bubble3D val="0"/>
            <c:extLst>
              <c:ext xmlns:c16="http://schemas.microsoft.com/office/drawing/2014/chart" uri="{C3380CC4-5D6E-409C-BE32-E72D297353CC}">
                <c16:uniqueId val="{00000003-6182-4A8B-BA73-76A10641998F}"/>
              </c:ext>
            </c:extLst>
          </c:dPt>
          <c:dPt>
            <c:idx val="11"/>
            <c:invertIfNegative val="0"/>
            <c:bubble3D val="0"/>
            <c:extLst>
              <c:ext xmlns:c16="http://schemas.microsoft.com/office/drawing/2014/chart" uri="{C3380CC4-5D6E-409C-BE32-E72D297353CC}">
                <c16:uniqueId val="{00000004-6182-4A8B-BA73-76A10641998F}"/>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3"/>
              <c:pt idx="0">
                <c:v>201905</c:v>
              </c:pt>
              <c:pt idx="1">
                <c:v>201906</c:v>
              </c:pt>
              <c:pt idx="2">
                <c:v>201907</c:v>
              </c:pt>
              <c:pt idx="3">
                <c:v>201908</c:v>
              </c:pt>
              <c:pt idx="4">
                <c:v>201909</c:v>
              </c:pt>
              <c:pt idx="5">
                <c:v>201910</c:v>
              </c:pt>
              <c:pt idx="6">
                <c:v>201911</c:v>
              </c:pt>
              <c:pt idx="7">
                <c:v>201912</c:v>
              </c:pt>
              <c:pt idx="8">
                <c:v>202001</c:v>
              </c:pt>
              <c:pt idx="9">
                <c:v>202002</c:v>
              </c:pt>
              <c:pt idx="10">
                <c:v>202003</c:v>
              </c:pt>
              <c:pt idx="11">
                <c:v>202004</c:v>
              </c:pt>
              <c:pt idx="12">
                <c:v>202005</c:v>
              </c:pt>
            </c:strLit>
          </c:cat>
          <c:val>
            <c:numLit>
              <c:formatCode>General</c:formatCode>
              <c:ptCount val="13"/>
              <c:pt idx="0">
                <c:v>0</c:v>
              </c:pt>
              <c:pt idx="1">
                <c:v>-0.16794121632770506</c:v>
              </c:pt>
              <c:pt idx="2">
                <c:v>-0.14414899940747453</c:v>
              </c:pt>
              <c:pt idx="3">
                <c:v>-3.2897401475038904E-2</c:v>
              </c:pt>
              <c:pt idx="4">
                <c:v>5.1637035998596613E-2</c:v>
              </c:pt>
              <c:pt idx="5">
                <c:v>0.29767511374805095</c:v>
              </c:pt>
              <c:pt idx="6">
                <c:v>0.16700679531627899</c:v>
              </c:pt>
              <c:pt idx="7">
                <c:v>5.3602075202726841E-2</c:v>
              </c:pt>
              <c:pt idx="8">
                <c:v>3.0513666307005194E-2</c:v>
              </c:pt>
              <c:pt idx="9">
                <c:v>0.11456785215901616</c:v>
              </c:pt>
              <c:pt idx="10">
                <c:v>-2.1135180434196366E-2</c:v>
              </c:pt>
              <c:pt idx="11">
                <c:v>-9.258974215093578E-2</c:v>
              </c:pt>
              <c:pt idx="12">
                <c:v>2.4707963018168037E-3</c:v>
              </c:pt>
            </c:numLit>
          </c:val>
          <c:extLst>
            <c:ext xmlns:c16="http://schemas.microsoft.com/office/drawing/2014/chart" uri="{C3380CC4-5D6E-409C-BE32-E72D297353CC}">
              <c16:uniqueId val="{00000005-6182-4A8B-BA73-76A10641998F}"/>
            </c:ext>
          </c:extLst>
        </c:ser>
        <c:dLbls>
          <c:showLegendKey val="0"/>
          <c:showVal val="0"/>
          <c:showCatName val="0"/>
          <c:showSerName val="0"/>
          <c:showPercent val="0"/>
          <c:showBubbleSize val="0"/>
        </c:dLbls>
        <c:gapWidth val="50"/>
        <c:axId val="501394095"/>
        <c:axId val="501385567"/>
      </c:barChart>
      <c:lineChart>
        <c:grouping val="standard"/>
        <c:varyColors val="0"/>
        <c:ser>
          <c:idx val="0"/>
          <c:order val="0"/>
          <c:tx>
            <c:v>Средняя выручка на 1 склад, тыс.руб </c:v>
          </c:tx>
          <c:spPr>
            <a:ln w="28575" cap="rnd">
              <a:solidFill>
                <a:schemeClr val="accent1"/>
              </a:solidFill>
              <a:round/>
            </a:ln>
            <a:effectLst/>
          </c:spPr>
          <c:marker>
            <c:symbol val="none"/>
          </c:marker>
          <c:dPt>
            <c:idx val="12"/>
            <c:marker>
              <c:symbol val="none"/>
            </c:marker>
            <c:bubble3D val="0"/>
            <c:extLst>
              <c:ext xmlns:c16="http://schemas.microsoft.com/office/drawing/2014/chart" uri="{C3380CC4-5D6E-409C-BE32-E72D297353CC}">
                <c16:uniqueId val="{00000006-6182-4A8B-BA73-76A10641998F}"/>
              </c:ext>
            </c:extLst>
          </c:dPt>
          <c:dLbls>
            <c:dLbl>
              <c:idx val="12"/>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182-4A8B-BA73-76A10641998F}"/>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3"/>
              <c:pt idx="0">
                <c:v>201905</c:v>
              </c:pt>
              <c:pt idx="1">
                <c:v>201906</c:v>
              </c:pt>
              <c:pt idx="2">
                <c:v>201907</c:v>
              </c:pt>
              <c:pt idx="3">
                <c:v>201908</c:v>
              </c:pt>
              <c:pt idx="4">
                <c:v>201909</c:v>
              </c:pt>
              <c:pt idx="5">
                <c:v>201910</c:v>
              </c:pt>
              <c:pt idx="6">
                <c:v>201911</c:v>
              </c:pt>
              <c:pt idx="7">
                <c:v>201912</c:v>
              </c:pt>
              <c:pt idx="8">
                <c:v>202001</c:v>
              </c:pt>
              <c:pt idx="9">
                <c:v>202002</c:v>
              </c:pt>
              <c:pt idx="10">
                <c:v>202003</c:v>
              </c:pt>
              <c:pt idx="11">
                <c:v>202004</c:v>
              </c:pt>
              <c:pt idx="12">
                <c:v>202005</c:v>
              </c:pt>
            </c:strLit>
          </c:cat>
          <c:val>
            <c:numLit>
              <c:formatCode>General</c:formatCode>
              <c:ptCount val="13"/>
              <c:pt idx="0">
                <c:v>31654.73950738916</c:v>
              </c:pt>
              <c:pt idx="1">
                <c:v>26338.604051981565</c:v>
              </c:pt>
              <c:pt idx="2">
                <c:v>22541.920632098769</c:v>
              </c:pt>
              <c:pt idx="3">
                <c:v>21800.350019046153</c:v>
              </c:pt>
              <c:pt idx="4">
                <c:v>22926.055477761645</c:v>
              </c:pt>
              <c:pt idx="5">
                <c:v>29750.571649898469</c:v>
              </c:pt>
              <c:pt idx="6">
                <c:v>34719.119279975355</c:v>
              </c:pt>
              <c:pt idx="7">
                <c:v>36580.136122593038</c:v>
              </c:pt>
              <c:pt idx="8">
                <c:v>37696.330189702669</c:v>
              </c:pt>
              <c:pt idx="9">
                <c:v>42015.117773813981</c:v>
              </c:pt>
              <c:pt idx="10">
                <c:v>41127.120678700412</c:v>
              </c:pt>
              <c:pt idx="11">
                <c:v>37319.171179649122</c:v>
              </c:pt>
              <c:pt idx="12">
                <c:v>37411.379249786667</c:v>
              </c:pt>
            </c:numLit>
          </c:val>
          <c:smooth val="1"/>
          <c:extLst>
            <c:ext xmlns:c16="http://schemas.microsoft.com/office/drawing/2014/chart" uri="{C3380CC4-5D6E-409C-BE32-E72D297353CC}">
              <c16:uniqueId val="{00000007-6182-4A8B-BA73-76A10641998F}"/>
            </c:ext>
          </c:extLst>
        </c:ser>
        <c:dLbls>
          <c:showLegendKey val="0"/>
          <c:showVal val="0"/>
          <c:showCatName val="0"/>
          <c:showSerName val="0"/>
          <c:showPercent val="0"/>
          <c:showBubbleSize val="0"/>
        </c:dLbls>
        <c:marker val="1"/>
        <c:smooth val="0"/>
        <c:axId val="403544367"/>
        <c:axId val="403543383"/>
      </c:lineChart>
      <c:catAx>
        <c:axId val="403544367"/>
        <c:scaling>
          <c:orientation val="minMax"/>
        </c:scaling>
        <c:delete val="0"/>
        <c:axPos val="b"/>
        <c:numFmt formatCode="\20\1\90\5"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403543383"/>
        <c:crosses val="autoZero"/>
        <c:auto val="1"/>
        <c:lblAlgn val="ctr"/>
        <c:lblOffset val="100"/>
        <c:noMultiLvlLbl val="0"/>
      </c:catAx>
      <c:valAx>
        <c:axId val="403543383"/>
        <c:scaling>
          <c:orientation val="minMax"/>
          <c:min val="2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403544367"/>
        <c:crosses val="autoZero"/>
        <c:crossBetween val="between"/>
      </c:valAx>
      <c:valAx>
        <c:axId val="501385567"/>
        <c:scaling>
          <c:orientation val="minMax"/>
          <c:min val="-0.4"/>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501394095"/>
        <c:crosses val="max"/>
        <c:crossBetween val="between"/>
      </c:valAx>
      <c:catAx>
        <c:axId val="501394095"/>
        <c:scaling>
          <c:orientation val="minMax"/>
        </c:scaling>
        <c:delete val="1"/>
        <c:axPos val="b"/>
        <c:numFmt formatCode="General" sourceLinked="1"/>
        <c:majorTickMark val="out"/>
        <c:minorTickMark val="none"/>
        <c:tickLblPos val="nextTo"/>
        <c:crossAx val="501385567"/>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количество заказов на 1 склад</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7C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7C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7C80"/>
          </a:solidFill>
          <a:ln>
            <a:noFill/>
          </a:ln>
          <a:effectLst/>
        </c:spPr>
      </c:pivotFmt>
      <c:pivotFmt>
        <c:idx val="10"/>
        <c:spPr>
          <a:solidFill>
            <a:srgbClr val="FF7C80"/>
          </a:solidFill>
          <a:ln>
            <a:noFill/>
          </a:ln>
          <a:effectLst/>
        </c:spPr>
      </c:pivotFmt>
      <c:pivotFmt>
        <c:idx val="11"/>
        <c:spPr>
          <a:solidFill>
            <a:srgbClr val="FF7C80"/>
          </a:solidFill>
          <a:ln>
            <a:noFill/>
          </a:ln>
          <a:effectLst/>
        </c:spPr>
      </c:pivotFmt>
      <c:pivotFmt>
        <c:idx val="12"/>
        <c:spPr>
          <a:solidFill>
            <a:srgbClr val="FF7C80"/>
          </a:solidFill>
          <a:ln>
            <a:noFill/>
          </a:ln>
          <a:effectLst/>
        </c:spPr>
      </c:pivotFmt>
      <c:pivotFmt>
        <c:idx val="13"/>
        <c:spPr>
          <a:solidFill>
            <a:srgbClr val="FF7C80"/>
          </a:solidFill>
          <a:ln>
            <a:noFill/>
          </a:ln>
          <a:effectLst/>
        </c:spPr>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v>Дельта MoM</c:v>
          </c:tx>
          <c:spPr>
            <a:solidFill>
              <a:schemeClr val="accent6"/>
            </a:solidFill>
            <a:ln>
              <a:noFill/>
            </a:ln>
            <a:effectLst/>
          </c:spPr>
          <c:invertIfNegative val="0"/>
          <c:dPt>
            <c:idx val="1"/>
            <c:invertIfNegative val="0"/>
            <c:bubble3D val="0"/>
            <c:extLst>
              <c:ext xmlns:c16="http://schemas.microsoft.com/office/drawing/2014/chart" uri="{C3380CC4-5D6E-409C-BE32-E72D297353CC}">
                <c16:uniqueId val="{00000000-7536-4433-8563-9EFBD3D312A4}"/>
              </c:ext>
            </c:extLst>
          </c:dPt>
          <c:dPt>
            <c:idx val="2"/>
            <c:invertIfNegative val="0"/>
            <c:bubble3D val="0"/>
            <c:extLst>
              <c:ext xmlns:c16="http://schemas.microsoft.com/office/drawing/2014/chart" uri="{C3380CC4-5D6E-409C-BE32-E72D297353CC}">
                <c16:uniqueId val="{00000001-7536-4433-8563-9EFBD3D312A4}"/>
              </c:ext>
            </c:extLst>
          </c:dPt>
          <c:dPt>
            <c:idx val="3"/>
            <c:invertIfNegative val="0"/>
            <c:bubble3D val="0"/>
            <c:extLst>
              <c:ext xmlns:c16="http://schemas.microsoft.com/office/drawing/2014/chart" uri="{C3380CC4-5D6E-409C-BE32-E72D297353CC}">
                <c16:uniqueId val="{00000002-7536-4433-8563-9EFBD3D312A4}"/>
              </c:ext>
            </c:extLst>
          </c:dPt>
          <c:dPt>
            <c:idx val="7"/>
            <c:invertIfNegative val="0"/>
            <c:bubble3D val="0"/>
            <c:extLst>
              <c:ext xmlns:c16="http://schemas.microsoft.com/office/drawing/2014/chart" uri="{C3380CC4-5D6E-409C-BE32-E72D297353CC}">
                <c16:uniqueId val="{00000003-7536-4433-8563-9EFBD3D312A4}"/>
              </c:ext>
            </c:extLst>
          </c:dPt>
          <c:dPt>
            <c:idx val="11"/>
            <c:invertIfNegative val="0"/>
            <c:bubble3D val="0"/>
            <c:extLst>
              <c:ext xmlns:c16="http://schemas.microsoft.com/office/drawing/2014/chart" uri="{C3380CC4-5D6E-409C-BE32-E72D297353CC}">
                <c16:uniqueId val="{00000004-7536-4433-8563-9EFBD3D312A4}"/>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3"/>
              <c:pt idx="0">
                <c:v>201905</c:v>
              </c:pt>
              <c:pt idx="1">
                <c:v>201906</c:v>
              </c:pt>
              <c:pt idx="2">
                <c:v>201907</c:v>
              </c:pt>
              <c:pt idx="3">
                <c:v>201908</c:v>
              </c:pt>
              <c:pt idx="4">
                <c:v>201909</c:v>
              </c:pt>
              <c:pt idx="5">
                <c:v>201910</c:v>
              </c:pt>
              <c:pt idx="6">
                <c:v>201911</c:v>
              </c:pt>
              <c:pt idx="7">
                <c:v>201912</c:v>
              </c:pt>
              <c:pt idx="8">
                <c:v>202001</c:v>
              </c:pt>
              <c:pt idx="9">
                <c:v>202002</c:v>
              </c:pt>
              <c:pt idx="10">
                <c:v>202003</c:v>
              </c:pt>
              <c:pt idx="11">
                <c:v>202004</c:v>
              </c:pt>
              <c:pt idx="12">
                <c:v>202005</c:v>
              </c:pt>
            </c:strLit>
          </c:cat>
          <c:val>
            <c:numLit>
              <c:formatCode>General</c:formatCode>
              <c:ptCount val="13"/>
              <c:pt idx="0">
                <c:v>0</c:v>
              </c:pt>
              <c:pt idx="1">
                <c:v>-4.4815153643749793E-2</c:v>
              </c:pt>
              <c:pt idx="2">
                <c:v>-0.10719860701807292</c:v>
              </c:pt>
              <c:pt idx="3">
                <c:v>-5.3252136182649007E-3</c:v>
              </c:pt>
              <c:pt idx="4">
                <c:v>5.1922388333329975E-2</c:v>
              </c:pt>
              <c:pt idx="5">
                <c:v>0.28132062815334197</c:v>
              </c:pt>
              <c:pt idx="6">
                <c:v>7.8700148026827482E-2</c:v>
              </c:pt>
              <c:pt idx="7">
                <c:v>-1.2210216227202421E-2</c:v>
              </c:pt>
              <c:pt idx="8">
                <c:v>4.3186864605765068E-2</c:v>
              </c:pt>
              <c:pt idx="9">
                <c:v>2.7680521208906145E-2</c:v>
              </c:pt>
              <c:pt idx="10">
                <c:v>1.2400992507871701E-2</c:v>
              </c:pt>
              <c:pt idx="11">
                <c:v>-5.3432677909615561E-2</c:v>
              </c:pt>
              <c:pt idx="12">
                <c:v>4.2455684199407838E-2</c:v>
              </c:pt>
            </c:numLit>
          </c:val>
          <c:extLst>
            <c:ext xmlns:c16="http://schemas.microsoft.com/office/drawing/2014/chart" uri="{C3380CC4-5D6E-409C-BE32-E72D297353CC}">
              <c16:uniqueId val="{00000005-7536-4433-8563-9EFBD3D312A4}"/>
            </c:ext>
          </c:extLst>
        </c:ser>
        <c:dLbls>
          <c:showLegendKey val="0"/>
          <c:showVal val="0"/>
          <c:showCatName val="0"/>
          <c:showSerName val="0"/>
          <c:showPercent val="0"/>
          <c:showBubbleSize val="0"/>
        </c:dLbls>
        <c:gapWidth val="50"/>
        <c:axId val="431638295"/>
        <c:axId val="431644527"/>
      </c:barChart>
      <c:lineChart>
        <c:grouping val="standard"/>
        <c:varyColors val="0"/>
        <c:ser>
          <c:idx val="0"/>
          <c:order val="0"/>
          <c:tx>
            <c:v>Среднее количество заказов на 1 склад </c:v>
          </c:tx>
          <c:spPr>
            <a:ln w="28575" cap="rnd">
              <a:solidFill>
                <a:schemeClr val="accent1"/>
              </a:solidFill>
              <a:round/>
            </a:ln>
            <a:effectLst/>
          </c:spPr>
          <c:marker>
            <c:symbol val="none"/>
          </c:marker>
          <c:dPt>
            <c:idx val="12"/>
            <c:marker>
              <c:symbol val="none"/>
            </c:marker>
            <c:bubble3D val="0"/>
            <c:extLst>
              <c:ext xmlns:c16="http://schemas.microsoft.com/office/drawing/2014/chart" uri="{C3380CC4-5D6E-409C-BE32-E72D297353CC}">
                <c16:uniqueId val="{00000006-7536-4433-8563-9EFBD3D312A4}"/>
              </c:ext>
            </c:extLst>
          </c:dPt>
          <c:dLbls>
            <c:dLbl>
              <c:idx val="12"/>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536-4433-8563-9EFBD3D312A4}"/>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3"/>
              <c:pt idx="0">
                <c:v>201905</c:v>
              </c:pt>
              <c:pt idx="1">
                <c:v>201906</c:v>
              </c:pt>
              <c:pt idx="2">
                <c:v>201907</c:v>
              </c:pt>
              <c:pt idx="3">
                <c:v>201908</c:v>
              </c:pt>
              <c:pt idx="4">
                <c:v>201909</c:v>
              </c:pt>
              <c:pt idx="5">
                <c:v>201910</c:v>
              </c:pt>
              <c:pt idx="6">
                <c:v>201911</c:v>
              </c:pt>
              <c:pt idx="7">
                <c:v>201912</c:v>
              </c:pt>
              <c:pt idx="8">
                <c:v>202001</c:v>
              </c:pt>
              <c:pt idx="9">
                <c:v>202002</c:v>
              </c:pt>
              <c:pt idx="10">
                <c:v>202003</c:v>
              </c:pt>
              <c:pt idx="11">
                <c:v>202004</c:v>
              </c:pt>
              <c:pt idx="12">
                <c:v>202005</c:v>
              </c:pt>
            </c:strLit>
          </c:cat>
          <c:val>
            <c:numLit>
              <c:formatCode>General</c:formatCode>
              <c:ptCount val="13"/>
              <c:pt idx="0">
                <c:v>32409.679802955667</c:v>
              </c:pt>
              <c:pt idx="1">
                <c:v>30957.235023041474</c:v>
              </c:pt>
              <c:pt idx="2">
                <c:v>27638.662551440328</c:v>
              </c:pt>
              <c:pt idx="3">
                <c:v>27491.48076923077</c:v>
              </c:pt>
              <c:pt idx="4">
                <c:v>28918.904109589042</c:v>
              </c:pt>
              <c:pt idx="5">
                <c:v>37054.388379204895</c:v>
              </c:pt>
              <c:pt idx="6">
                <c:v>39970.574229691876</c:v>
              </c:pt>
              <c:pt idx="7">
                <c:v>39482.524875621893</c:v>
              </c:pt>
              <c:pt idx="8">
                <c:v>41187.651331719127</c:v>
              </c:pt>
              <c:pt idx="9">
                <c:v>42327.74698795181</c:v>
              </c:pt>
              <c:pt idx="10">
                <c:v>42852.65306122449</c:v>
              </c:pt>
              <c:pt idx="11">
                <c:v>40562.92105263158</c:v>
              </c:pt>
              <c:pt idx="12">
                <c:v>42285.047619047618</c:v>
              </c:pt>
            </c:numLit>
          </c:val>
          <c:smooth val="1"/>
          <c:extLst>
            <c:ext xmlns:c16="http://schemas.microsoft.com/office/drawing/2014/chart" uri="{C3380CC4-5D6E-409C-BE32-E72D297353CC}">
              <c16:uniqueId val="{00000007-7536-4433-8563-9EFBD3D312A4}"/>
            </c:ext>
          </c:extLst>
        </c:ser>
        <c:dLbls>
          <c:showLegendKey val="0"/>
          <c:showVal val="0"/>
          <c:showCatName val="0"/>
          <c:showSerName val="0"/>
          <c:showPercent val="0"/>
          <c:showBubbleSize val="0"/>
        </c:dLbls>
        <c:marker val="1"/>
        <c:smooth val="0"/>
        <c:axId val="431625503"/>
        <c:axId val="431617959"/>
      </c:lineChart>
      <c:catAx>
        <c:axId val="431625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431617959"/>
        <c:crosses val="autoZero"/>
        <c:auto val="1"/>
        <c:lblAlgn val="ctr"/>
        <c:lblOffset val="100"/>
        <c:noMultiLvlLbl val="0"/>
      </c:catAx>
      <c:valAx>
        <c:axId val="431617959"/>
        <c:scaling>
          <c:orientation val="minMax"/>
          <c:min val="14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431625503"/>
        <c:crosses val="autoZero"/>
        <c:crossBetween val="between"/>
      </c:valAx>
      <c:valAx>
        <c:axId val="431644527"/>
        <c:scaling>
          <c:orientation val="minMax"/>
          <c:min val="-0.4"/>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431638295"/>
        <c:crosses val="max"/>
        <c:crossBetween val="between"/>
      </c:valAx>
      <c:catAx>
        <c:axId val="431638295"/>
        <c:scaling>
          <c:orientation val="minMax"/>
        </c:scaling>
        <c:delete val="1"/>
        <c:axPos val="b"/>
        <c:numFmt formatCode="General" sourceLinked="1"/>
        <c:majorTickMark val="out"/>
        <c:minorTickMark val="none"/>
        <c:tickLblPos val="nextTo"/>
        <c:crossAx val="431644527"/>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sz="1400" b="0" i="0" u="none" strike="noStrike" baseline="0">
                <a:effectLst/>
              </a:rPr>
              <a:t>средний заказ, руб</a:t>
            </a:r>
            <a:endParaRPr lang="ru-R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7C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7C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
        <c:idx val="15"/>
      </c:pivotFmt>
      <c:pivotFmt>
        <c:idx val="16"/>
        <c:spPr>
          <a:solidFill>
            <a:schemeClr val="accent6"/>
          </a:solidFill>
          <a:ln>
            <a:noFill/>
          </a:ln>
          <a:effectLst/>
        </c:spPr>
      </c:pivotFmt>
      <c:pivotFmt>
        <c:idx val="17"/>
        <c:spPr>
          <a:solidFill>
            <a:schemeClr val="accent6"/>
          </a:solidFill>
          <a:ln>
            <a:noFill/>
          </a:ln>
          <a:effectLst/>
        </c:spPr>
      </c:pivotFmt>
      <c:pivotFmt>
        <c:idx val="18"/>
        <c:spPr>
          <a:solidFill>
            <a:schemeClr val="accent6"/>
          </a:solidFill>
          <a:ln>
            <a:noFill/>
          </a:ln>
          <a:effectLst/>
        </c:spPr>
      </c:pivotFmt>
      <c:pivotFmt>
        <c:idx val="19"/>
        <c:spPr>
          <a:solidFill>
            <a:schemeClr val="accent6"/>
          </a:solidFill>
          <a:ln>
            <a:noFill/>
          </a:ln>
          <a:effectLst/>
        </c:spPr>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v>Дельта MoM</c:v>
          </c:tx>
          <c:spPr>
            <a:solidFill>
              <a:schemeClr val="accent6"/>
            </a:solidFill>
            <a:ln>
              <a:noFill/>
            </a:ln>
            <a:effectLst/>
          </c:spPr>
          <c:invertIfNegative val="0"/>
          <c:dPt>
            <c:idx val="5"/>
            <c:invertIfNegative val="0"/>
            <c:bubble3D val="0"/>
            <c:extLst>
              <c:ext xmlns:c16="http://schemas.microsoft.com/office/drawing/2014/chart" uri="{C3380CC4-5D6E-409C-BE32-E72D297353CC}">
                <c16:uniqueId val="{00000000-B588-4BC7-A909-BF276247B5D9}"/>
              </c:ext>
            </c:extLst>
          </c:dPt>
          <c:dPt>
            <c:idx val="6"/>
            <c:invertIfNegative val="0"/>
            <c:bubble3D val="0"/>
            <c:extLst>
              <c:ext xmlns:c16="http://schemas.microsoft.com/office/drawing/2014/chart" uri="{C3380CC4-5D6E-409C-BE32-E72D297353CC}">
                <c16:uniqueId val="{00000001-B588-4BC7-A909-BF276247B5D9}"/>
              </c:ext>
            </c:extLst>
          </c:dPt>
          <c:dPt>
            <c:idx val="7"/>
            <c:invertIfNegative val="0"/>
            <c:bubble3D val="0"/>
            <c:extLst>
              <c:ext xmlns:c16="http://schemas.microsoft.com/office/drawing/2014/chart" uri="{C3380CC4-5D6E-409C-BE32-E72D297353CC}">
                <c16:uniqueId val="{00000002-B588-4BC7-A909-BF276247B5D9}"/>
              </c:ext>
            </c:extLst>
          </c:dPt>
          <c:dPt>
            <c:idx val="9"/>
            <c:invertIfNegative val="0"/>
            <c:bubble3D val="0"/>
            <c:extLst>
              <c:ext xmlns:c16="http://schemas.microsoft.com/office/drawing/2014/chart" uri="{C3380CC4-5D6E-409C-BE32-E72D297353CC}">
                <c16:uniqueId val="{00000003-B588-4BC7-A909-BF276247B5D9}"/>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3"/>
              <c:pt idx="0">
                <c:v>201905</c:v>
              </c:pt>
              <c:pt idx="1">
                <c:v>201906</c:v>
              </c:pt>
              <c:pt idx="2">
                <c:v>201907</c:v>
              </c:pt>
              <c:pt idx="3">
                <c:v>201908</c:v>
              </c:pt>
              <c:pt idx="4">
                <c:v>201909</c:v>
              </c:pt>
              <c:pt idx="5">
                <c:v>201910</c:v>
              </c:pt>
              <c:pt idx="6">
                <c:v>201911</c:v>
              </c:pt>
              <c:pt idx="7">
                <c:v>201912</c:v>
              </c:pt>
              <c:pt idx="8">
                <c:v>202001</c:v>
              </c:pt>
              <c:pt idx="9">
                <c:v>202002</c:v>
              </c:pt>
              <c:pt idx="10">
                <c:v>202003</c:v>
              </c:pt>
              <c:pt idx="11">
                <c:v>202004</c:v>
              </c:pt>
              <c:pt idx="12">
                <c:v>202005</c:v>
              </c:pt>
            </c:strLit>
          </c:cat>
          <c:val>
            <c:numLit>
              <c:formatCode>General</c:formatCode>
              <c:ptCount val="13"/>
              <c:pt idx="0">
                <c:v>0</c:v>
              </c:pt>
              <c:pt idx="1">
                <c:v>-0.12890286435515089</c:v>
              </c:pt>
              <c:pt idx="2">
                <c:v>-4.138702367610414E-2</c:v>
              </c:pt>
              <c:pt idx="3">
                <c:v>-2.7719801722401571E-2</c:v>
              </c:pt>
              <c:pt idx="4">
                <c:v>-2.7126747932940077E-4</c:v>
              </c:pt>
              <c:pt idx="5">
                <c:v>1.2763772966239839E-2</c:v>
              </c:pt>
              <c:pt idx="6">
                <c:v>8.1863942867703224E-2</c:v>
              </c:pt>
              <c:pt idx="7">
                <c:v>6.6625806938966026E-2</c:v>
              </c:pt>
              <c:pt idx="8">
                <c:v>-1.2148540907433088E-2</c:v>
              </c:pt>
              <c:pt idx="9">
                <c:v>8.4547025225213707E-2</c:v>
              </c:pt>
              <c:pt idx="10">
                <c:v>-3.3125385287299872E-2</c:v>
              </c:pt>
              <c:pt idx="11">
                <c:v>-4.1367437188562797E-2</c:v>
              </c:pt>
              <c:pt idx="12">
                <c:v>-3.8356439034911226E-2</c:v>
              </c:pt>
            </c:numLit>
          </c:val>
          <c:extLst>
            <c:ext xmlns:c16="http://schemas.microsoft.com/office/drawing/2014/chart" uri="{C3380CC4-5D6E-409C-BE32-E72D297353CC}">
              <c16:uniqueId val="{00000004-B588-4BC7-A909-BF276247B5D9}"/>
            </c:ext>
          </c:extLst>
        </c:ser>
        <c:dLbls>
          <c:showLegendKey val="0"/>
          <c:showVal val="0"/>
          <c:showCatName val="0"/>
          <c:showSerName val="0"/>
          <c:showPercent val="0"/>
          <c:showBubbleSize val="0"/>
        </c:dLbls>
        <c:gapWidth val="50"/>
        <c:axId val="918789504"/>
        <c:axId val="918789176"/>
      </c:barChart>
      <c:lineChart>
        <c:grouping val="standard"/>
        <c:varyColors val="0"/>
        <c:ser>
          <c:idx val="0"/>
          <c:order val="0"/>
          <c:tx>
            <c:v>Средний заказ, руб </c:v>
          </c:tx>
          <c:spPr>
            <a:ln w="28575" cap="rnd">
              <a:solidFill>
                <a:schemeClr val="accent1"/>
              </a:solidFill>
              <a:round/>
            </a:ln>
            <a:effectLst/>
          </c:spPr>
          <c:marker>
            <c:symbol val="none"/>
          </c:marker>
          <c:dPt>
            <c:idx val="12"/>
            <c:marker>
              <c:symbol val="none"/>
            </c:marker>
            <c:bubble3D val="0"/>
            <c:extLst>
              <c:ext xmlns:c16="http://schemas.microsoft.com/office/drawing/2014/chart" uri="{C3380CC4-5D6E-409C-BE32-E72D297353CC}">
                <c16:uniqueId val="{00000005-B588-4BC7-A909-BF276247B5D9}"/>
              </c:ext>
            </c:extLst>
          </c:dPt>
          <c:dLbls>
            <c:dLbl>
              <c:idx val="12"/>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588-4BC7-A909-BF276247B5D9}"/>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3"/>
              <c:pt idx="0">
                <c:v>201905</c:v>
              </c:pt>
              <c:pt idx="1">
                <c:v>201906</c:v>
              </c:pt>
              <c:pt idx="2">
                <c:v>201907</c:v>
              </c:pt>
              <c:pt idx="3">
                <c:v>201908</c:v>
              </c:pt>
              <c:pt idx="4">
                <c:v>201909</c:v>
              </c:pt>
              <c:pt idx="5">
                <c:v>201910</c:v>
              </c:pt>
              <c:pt idx="6">
                <c:v>201911</c:v>
              </c:pt>
              <c:pt idx="7">
                <c:v>201912</c:v>
              </c:pt>
              <c:pt idx="8">
                <c:v>202001</c:v>
              </c:pt>
              <c:pt idx="9">
                <c:v>202002</c:v>
              </c:pt>
              <c:pt idx="10">
                <c:v>202003</c:v>
              </c:pt>
              <c:pt idx="11">
                <c:v>202004</c:v>
              </c:pt>
              <c:pt idx="12">
                <c:v>202005</c:v>
              </c:pt>
            </c:strLit>
          </c:cat>
          <c:val>
            <c:numLit>
              <c:formatCode>General</c:formatCode>
              <c:ptCount val="13"/>
              <c:pt idx="0">
                <c:v>976.70633279451113</c:v>
              </c:pt>
              <c:pt idx="1">
                <c:v>850.80608886348341</c:v>
              </c:pt>
              <c:pt idx="2">
                <c:v>815.59375711991686</c:v>
              </c:pt>
              <c:pt idx="3">
                <c:v>792.98565988652422</c:v>
              </c:pt>
              <c:pt idx="4">
                <c:v>792.77054866542244</c:v>
              </c:pt>
              <c:pt idx="5">
                <c:v>802.88929196290928</c:v>
              </c:pt>
              <c:pt idx="6">
                <c:v>868.61697508925158</c:v>
              </c:pt>
              <c:pt idx="7">
                <c:v>926.48928197545672</c:v>
              </c:pt>
              <c:pt idx="8">
                <c:v>915.23378903307957</c:v>
              </c:pt>
              <c:pt idx="9">
                <c:v>992.61408328142727</c:v>
              </c:pt>
              <c:pt idx="10">
                <c:v>959.73335933113003</c:v>
              </c:pt>
              <c:pt idx="11">
                <c:v>920.03164987123114</c:v>
              </c:pt>
              <c:pt idx="12">
                <c:v>884.74251198275647</c:v>
              </c:pt>
            </c:numLit>
          </c:val>
          <c:smooth val="1"/>
          <c:extLst>
            <c:ext xmlns:c16="http://schemas.microsoft.com/office/drawing/2014/chart" uri="{C3380CC4-5D6E-409C-BE32-E72D297353CC}">
              <c16:uniqueId val="{00000006-B588-4BC7-A909-BF276247B5D9}"/>
            </c:ext>
          </c:extLst>
        </c:ser>
        <c:dLbls>
          <c:showLegendKey val="0"/>
          <c:showVal val="0"/>
          <c:showCatName val="0"/>
          <c:showSerName val="0"/>
          <c:showPercent val="0"/>
          <c:showBubbleSize val="0"/>
        </c:dLbls>
        <c:marker val="1"/>
        <c:smooth val="0"/>
        <c:axId val="431569743"/>
        <c:axId val="431563183"/>
      </c:lineChart>
      <c:catAx>
        <c:axId val="431569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431563183"/>
        <c:crosses val="autoZero"/>
        <c:auto val="1"/>
        <c:lblAlgn val="ctr"/>
        <c:lblOffset val="100"/>
        <c:noMultiLvlLbl val="0"/>
      </c:catAx>
      <c:valAx>
        <c:axId val="431563183"/>
        <c:scaling>
          <c:orientation val="minMax"/>
          <c:min val="45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431569743"/>
        <c:crosses val="autoZero"/>
        <c:crossBetween val="between"/>
      </c:valAx>
      <c:valAx>
        <c:axId val="918789176"/>
        <c:scaling>
          <c:orientation val="minMax"/>
          <c:max val="0.15000000000000002"/>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918789504"/>
        <c:crosses val="max"/>
        <c:crossBetween val="between"/>
      </c:valAx>
      <c:catAx>
        <c:axId val="918789504"/>
        <c:scaling>
          <c:orientation val="minMax"/>
        </c:scaling>
        <c:delete val="1"/>
        <c:axPos val="b"/>
        <c:numFmt formatCode="General" sourceLinked="1"/>
        <c:majorTickMark val="out"/>
        <c:minorTickMark val="none"/>
        <c:tickLblPos val="nextTo"/>
        <c:crossAx val="91878917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sz="1400" b="0" i="0" u="none" strike="noStrike" baseline="0">
                <a:effectLst/>
              </a:rPr>
              <a:t>количество клиентов на 1 склад</a:t>
            </a:r>
            <a:endParaRPr lang="ru-R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7C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7C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7C80"/>
          </a:solidFill>
          <a:ln>
            <a:noFill/>
          </a:ln>
          <a:effectLst/>
        </c:spPr>
      </c:pivotFmt>
      <c:pivotFmt>
        <c:idx val="10"/>
        <c:spPr>
          <a:solidFill>
            <a:srgbClr val="FF7C80"/>
          </a:solidFill>
          <a:ln>
            <a:noFill/>
          </a:ln>
          <a:effectLst/>
        </c:spPr>
      </c:pivotFmt>
      <c:pivotFmt>
        <c:idx val="11"/>
        <c:spPr>
          <a:solidFill>
            <a:srgbClr val="FF7C80"/>
          </a:solidFill>
          <a:ln>
            <a:noFill/>
          </a:ln>
          <a:effectLst/>
        </c:spPr>
      </c:pivotFmt>
      <c:pivotFmt>
        <c:idx val="12"/>
        <c:spPr>
          <a:solidFill>
            <a:srgbClr val="FF7C80"/>
          </a:solidFill>
          <a:ln>
            <a:noFill/>
          </a:ln>
          <a:effectLst/>
        </c:spPr>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v>Дельта MoM</c:v>
          </c:tx>
          <c:spPr>
            <a:solidFill>
              <a:schemeClr val="accent6"/>
            </a:solidFill>
            <a:ln>
              <a:noFill/>
            </a:ln>
            <a:effectLst/>
          </c:spPr>
          <c:invertIfNegative val="0"/>
          <c:dPt>
            <c:idx val="2"/>
            <c:invertIfNegative val="0"/>
            <c:bubble3D val="0"/>
            <c:extLst>
              <c:ext xmlns:c16="http://schemas.microsoft.com/office/drawing/2014/chart" uri="{C3380CC4-5D6E-409C-BE32-E72D297353CC}">
                <c16:uniqueId val="{00000000-6622-4E1B-8209-74452A60E292}"/>
              </c:ext>
            </c:extLst>
          </c:dPt>
          <c:dPt>
            <c:idx val="3"/>
            <c:invertIfNegative val="0"/>
            <c:bubble3D val="0"/>
            <c:extLst>
              <c:ext xmlns:c16="http://schemas.microsoft.com/office/drawing/2014/chart" uri="{C3380CC4-5D6E-409C-BE32-E72D297353CC}">
                <c16:uniqueId val="{00000001-6622-4E1B-8209-74452A60E292}"/>
              </c:ext>
            </c:extLst>
          </c:dPt>
          <c:dPt>
            <c:idx val="7"/>
            <c:invertIfNegative val="0"/>
            <c:bubble3D val="0"/>
            <c:extLst>
              <c:ext xmlns:c16="http://schemas.microsoft.com/office/drawing/2014/chart" uri="{C3380CC4-5D6E-409C-BE32-E72D297353CC}">
                <c16:uniqueId val="{00000002-6622-4E1B-8209-74452A60E292}"/>
              </c:ext>
            </c:extLst>
          </c:dPt>
          <c:dPt>
            <c:idx val="11"/>
            <c:invertIfNegative val="0"/>
            <c:bubble3D val="0"/>
            <c:extLst>
              <c:ext xmlns:c16="http://schemas.microsoft.com/office/drawing/2014/chart" uri="{C3380CC4-5D6E-409C-BE32-E72D297353CC}">
                <c16:uniqueId val="{00000003-6622-4E1B-8209-74452A60E292}"/>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3"/>
              <c:pt idx="0">
                <c:v>201905</c:v>
              </c:pt>
              <c:pt idx="1">
                <c:v>201906</c:v>
              </c:pt>
              <c:pt idx="2">
                <c:v>201907</c:v>
              </c:pt>
              <c:pt idx="3">
                <c:v>201908</c:v>
              </c:pt>
              <c:pt idx="4">
                <c:v>201909</c:v>
              </c:pt>
              <c:pt idx="5">
                <c:v>201910</c:v>
              </c:pt>
              <c:pt idx="6">
                <c:v>201911</c:v>
              </c:pt>
              <c:pt idx="7">
                <c:v>201912</c:v>
              </c:pt>
              <c:pt idx="8">
                <c:v>202001</c:v>
              </c:pt>
              <c:pt idx="9">
                <c:v>202002</c:v>
              </c:pt>
              <c:pt idx="10">
                <c:v>202003</c:v>
              </c:pt>
              <c:pt idx="11">
                <c:v>202004</c:v>
              </c:pt>
              <c:pt idx="12">
                <c:v>202005</c:v>
              </c:pt>
            </c:strLit>
          </c:cat>
          <c:val>
            <c:numLit>
              <c:formatCode>General</c:formatCode>
              <c:ptCount val="13"/>
              <c:pt idx="0">
                <c:v>0</c:v>
              </c:pt>
              <c:pt idx="1">
                <c:v>1.0892536772751083E-2</c:v>
              </c:pt>
              <c:pt idx="2">
                <c:v>-0.12514500077893967</c:v>
              </c:pt>
              <c:pt idx="3">
                <c:v>-3.8369407554235985E-2</c:v>
              </c:pt>
              <c:pt idx="4">
                <c:v>3.7828671409223198E-2</c:v>
              </c:pt>
              <c:pt idx="5">
                <c:v>0.22123464522086919</c:v>
              </c:pt>
              <c:pt idx="6">
                <c:v>8.6869701172283958E-2</c:v>
              </c:pt>
              <c:pt idx="7">
                <c:v>-2.4639176466450162E-2</c:v>
              </c:pt>
              <c:pt idx="8">
                <c:v>5.482250204099192E-2</c:v>
              </c:pt>
              <c:pt idx="9">
                <c:v>8.5001250883704582E-2</c:v>
              </c:pt>
              <c:pt idx="10">
                <c:v>2.323766374659169E-4</c:v>
              </c:pt>
              <c:pt idx="11">
                <c:v>-2.3890475798215103E-2</c:v>
              </c:pt>
              <c:pt idx="12">
                <c:v>3.9742254540801124E-2</c:v>
              </c:pt>
            </c:numLit>
          </c:val>
          <c:extLst>
            <c:ext xmlns:c16="http://schemas.microsoft.com/office/drawing/2014/chart" uri="{C3380CC4-5D6E-409C-BE32-E72D297353CC}">
              <c16:uniqueId val="{00000004-6622-4E1B-8209-74452A60E292}"/>
            </c:ext>
          </c:extLst>
        </c:ser>
        <c:dLbls>
          <c:showLegendKey val="0"/>
          <c:showVal val="0"/>
          <c:showCatName val="0"/>
          <c:showSerName val="0"/>
          <c:showPercent val="0"/>
          <c:showBubbleSize val="0"/>
        </c:dLbls>
        <c:gapWidth val="50"/>
        <c:axId val="431668799"/>
        <c:axId val="431668143"/>
      </c:barChart>
      <c:lineChart>
        <c:grouping val="standard"/>
        <c:varyColors val="0"/>
        <c:ser>
          <c:idx val="0"/>
          <c:order val="0"/>
          <c:tx>
            <c:v>Среднее количество клиентов на 1 склад</c:v>
          </c:tx>
          <c:spPr>
            <a:ln w="28575" cap="rnd">
              <a:solidFill>
                <a:schemeClr val="accent1"/>
              </a:solidFill>
              <a:round/>
            </a:ln>
            <a:effectLst/>
          </c:spPr>
          <c:marker>
            <c:symbol val="none"/>
          </c:marker>
          <c:dPt>
            <c:idx val="12"/>
            <c:marker>
              <c:symbol val="none"/>
            </c:marker>
            <c:bubble3D val="0"/>
            <c:extLst>
              <c:ext xmlns:c16="http://schemas.microsoft.com/office/drawing/2014/chart" uri="{C3380CC4-5D6E-409C-BE32-E72D297353CC}">
                <c16:uniqueId val="{00000005-6622-4E1B-8209-74452A60E292}"/>
              </c:ext>
            </c:extLst>
          </c:dPt>
          <c:dLbls>
            <c:dLbl>
              <c:idx val="12"/>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622-4E1B-8209-74452A60E292}"/>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3"/>
              <c:pt idx="0">
                <c:v>201905</c:v>
              </c:pt>
              <c:pt idx="1">
                <c:v>201906</c:v>
              </c:pt>
              <c:pt idx="2">
                <c:v>201907</c:v>
              </c:pt>
              <c:pt idx="3">
                <c:v>201908</c:v>
              </c:pt>
              <c:pt idx="4">
                <c:v>201909</c:v>
              </c:pt>
              <c:pt idx="5">
                <c:v>201910</c:v>
              </c:pt>
              <c:pt idx="6">
                <c:v>201911</c:v>
              </c:pt>
              <c:pt idx="7">
                <c:v>201912</c:v>
              </c:pt>
              <c:pt idx="8">
                <c:v>202001</c:v>
              </c:pt>
              <c:pt idx="9">
                <c:v>202002</c:v>
              </c:pt>
              <c:pt idx="10">
                <c:v>202003</c:v>
              </c:pt>
              <c:pt idx="11">
                <c:v>202004</c:v>
              </c:pt>
              <c:pt idx="12">
                <c:v>202005</c:v>
              </c:pt>
            </c:strLit>
          </c:cat>
          <c:val>
            <c:numLit>
              <c:formatCode>General</c:formatCode>
              <c:ptCount val="13"/>
              <c:pt idx="0">
                <c:v>3877.7339901477831</c:v>
              </c:pt>
              <c:pt idx="1">
                <c:v>3919.9723502304146</c:v>
              </c:pt>
              <c:pt idx="2">
                <c:v>3429.4074074074074</c:v>
              </c:pt>
              <c:pt idx="3">
                <c:v>3297.8230769230768</c:v>
              </c:pt>
              <c:pt idx="4">
                <c:v>3422.5753424657532</c:v>
              </c:pt>
              <c:pt idx="5">
                <c:v>4179.7675840978591</c:v>
              </c:pt>
              <c:pt idx="6">
                <c:v>4542.8627450980393</c:v>
              </c:pt>
              <c:pt idx="7">
                <c:v>4430.9303482587065</c:v>
              </c:pt>
              <c:pt idx="8">
                <c:v>4673.8450363196125</c:v>
              </c:pt>
              <c:pt idx="9">
                <c:v>5071.1277108433733</c:v>
              </c:pt>
              <c:pt idx="10">
                <c:v>5072.3061224489793</c:v>
              </c:pt>
              <c:pt idx="11">
                <c:v>4951.1263157894737</c:v>
              </c:pt>
              <c:pt idx="12">
                <c:v>5147.8952380952378</c:v>
              </c:pt>
            </c:numLit>
          </c:val>
          <c:smooth val="1"/>
          <c:extLst>
            <c:ext xmlns:c16="http://schemas.microsoft.com/office/drawing/2014/chart" uri="{C3380CC4-5D6E-409C-BE32-E72D297353CC}">
              <c16:uniqueId val="{00000006-6622-4E1B-8209-74452A60E292}"/>
            </c:ext>
          </c:extLst>
        </c:ser>
        <c:dLbls>
          <c:showLegendKey val="0"/>
          <c:showVal val="0"/>
          <c:showCatName val="0"/>
          <c:showSerName val="0"/>
          <c:showPercent val="0"/>
          <c:showBubbleSize val="0"/>
        </c:dLbls>
        <c:marker val="1"/>
        <c:smooth val="0"/>
        <c:axId val="431593687"/>
        <c:axId val="431591063"/>
      </c:lineChart>
      <c:catAx>
        <c:axId val="431593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431591063"/>
        <c:crosses val="autoZero"/>
        <c:auto val="1"/>
        <c:lblAlgn val="ctr"/>
        <c:lblOffset val="100"/>
        <c:noMultiLvlLbl val="0"/>
      </c:catAx>
      <c:valAx>
        <c:axId val="431591063"/>
        <c:scaling>
          <c:orientation val="minMax"/>
          <c:min val="13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431593687"/>
        <c:crosses val="autoZero"/>
        <c:crossBetween val="between"/>
      </c:valAx>
      <c:valAx>
        <c:axId val="431668143"/>
        <c:scaling>
          <c:orientation val="minMax"/>
          <c:min val="-0.2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431668799"/>
        <c:crosses val="max"/>
        <c:crossBetween val="between"/>
      </c:valAx>
      <c:catAx>
        <c:axId val="431668799"/>
        <c:scaling>
          <c:orientation val="minMax"/>
        </c:scaling>
        <c:delete val="1"/>
        <c:axPos val="b"/>
        <c:numFmt formatCode="General" sourceLinked="1"/>
        <c:majorTickMark val="out"/>
        <c:minorTickMark val="none"/>
        <c:tickLblPos val="nextTo"/>
        <c:crossAx val="431668143"/>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среднее количество штук в заказе</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7C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7C80"/>
          </a:solidFill>
          <a:ln>
            <a:noFill/>
          </a:ln>
          <a:effectLst/>
        </c:spPr>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7C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pivotFmt>
      <c:pivotFmt>
        <c:idx val="11"/>
        <c:spPr>
          <a:solidFill>
            <a:schemeClr val="accent6"/>
          </a:solidFill>
          <a:ln>
            <a:noFill/>
          </a:ln>
          <a:effectLst/>
        </c:spPr>
      </c:pivotFmt>
      <c:pivotFmt>
        <c:idx val="12"/>
        <c:spPr>
          <a:solidFill>
            <a:schemeClr val="accent6"/>
          </a:solidFill>
          <a:ln>
            <a:noFill/>
          </a:ln>
          <a:effectLst/>
        </c:spPr>
      </c:pivotFmt>
      <c:pivotFmt>
        <c:idx val="13"/>
        <c:spPr>
          <a:solidFill>
            <a:schemeClr val="accent6"/>
          </a:solidFill>
          <a:ln>
            <a:noFill/>
          </a:ln>
          <a:effectLst/>
        </c:spPr>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v>Дельта MoM</c:v>
          </c:tx>
          <c:spPr>
            <a:solidFill>
              <a:schemeClr val="accent6"/>
            </a:solidFill>
            <a:ln>
              <a:noFill/>
            </a:ln>
            <a:effectLst/>
          </c:spPr>
          <c:invertIfNegative val="0"/>
          <c:dPt>
            <c:idx val="5"/>
            <c:invertIfNegative val="0"/>
            <c:bubble3D val="0"/>
            <c:extLst>
              <c:ext xmlns:c16="http://schemas.microsoft.com/office/drawing/2014/chart" uri="{C3380CC4-5D6E-409C-BE32-E72D297353CC}">
                <c16:uniqueId val="{00000000-1780-491D-8642-0CB79ED7C317}"/>
              </c:ext>
            </c:extLst>
          </c:dPt>
          <c:dPt>
            <c:idx val="6"/>
            <c:invertIfNegative val="0"/>
            <c:bubble3D val="0"/>
            <c:extLst>
              <c:ext xmlns:c16="http://schemas.microsoft.com/office/drawing/2014/chart" uri="{C3380CC4-5D6E-409C-BE32-E72D297353CC}">
                <c16:uniqueId val="{00000001-1780-491D-8642-0CB79ED7C317}"/>
              </c:ext>
            </c:extLst>
          </c:dPt>
          <c:dPt>
            <c:idx val="7"/>
            <c:invertIfNegative val="0"/>
            <c:bubble3D val="0"/>
            <c:extLst>
              <c:ext xmlns:c16="http://schemas.microsoft.com/office/drawing/2014/chart" uri="{C3380CC4-5D6E-409C-BE32-E72D297353CC}">
                <c16:uniqueId val="{00000002-1780-491D-8642-0CB79ED7C317}"/>
              </c:ext>
            </c:extLst>
          </c:dPt>
          <c:dPt>
            <c:idx val="9"/>
            <c:invertIfNegative val="0"/>
            <c:bubble3D val="0"/>
            <c:extLst>
              <c:ext xmlns:c16="http://schemas.microsoft.com/office/drawing/2014/chart" uri="{C3380CC4-5D6E-409C-BE32-E72D297353CC}">
                <c16:uniqueId val="{00000003-1780-491D-8642-0CB79ED7C317}"/>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3"/>
              <c:pt idx="0">
                <c:v>201905</c:v>
              </c:pt>
              <c:pt idx="1">
                <c:v>201906</c:v>
              </c:pt>
              <c:pt idx="2">
                <c:v>201907</c:v>
              </c:pt>
              <c:pt idx="3">
                <c:v>201908</c:v>
              </c:pt>
              <c:pt idx="4">
                <c:v>201909</c:v>
              </c:pt>
              <c:pt idx="5">
                <c:v>201910</c:v>
              </c:pt>
              <c:pt idx="6">
                <c:v>201911</c:v>
              </c:pt>
              <c:pt idx="7">
                <c:v>201912</c:v>
              </c:pt>
              <c:pt idx="8">
                <c:v>202001</c:v>
              </c:pt>
              <c:pt idx="9">
                <c:v>202002</c:v>
              </c:pt>
              <c:pt idx="10">
                <c:v>202003</c:v>
              </c:pt>
              <c:pt idx="11">
                <c:v>202004</c:v>
              </c:pt>
              <c:pt idx="12">
                <c:v>202005</c:v>
              </c:pt>
            </c:strLit>
          </c:cat>
          <c:val>
            <c:numLit>
              <c:formatCode>General</c:formatCode>
              <c:ptCount val="13"/>
              <c:pt idx="0">
                <c:v>0</c:v>
              </c:pt>
              <c:pt idx="1">
                <c:v>-0.10573164626282773</c:v>
              </c:pt>
              <c:pt idx="2">
                <c:v>-3.8734912529881885E-2</c:v>
              </c:pt>
              <c:pt idx="3">
                <c:v>-7.1940333598349851E-2</c:v>
              </c:pt>
              <c:pt idx="4">
                <c:v>-2.8212900375794076E-2</c:v>
              </c:pt>
              <c:pt idx="5">
                <c:v>3.7462391912990951E-2</c:v>
              </c:pt>
              <c:pt idx="6">
                <c:v>6.9400838265528897E-2</c:v>
              </c:pt>
              <c:pt idx="7">
                <c:v>5.532854561280936E-3</c:v>
              </c:pt>
              <c:pt idx="8">
                <c:v>-1.0660169967102067E-2</c:v>
              </c:pt>
              <c:pt idx="9">
                <c:v>5.5370285925590935E-2</c:v>
              </c:pt>
              <c:pt idx="10">
                <c:v>-4.3176551758390337E-2</c:v>
              </c:pt>
              <c:pt idx="11">
                <c:v>-2.810714767976406E-2</c:v>
              </c:pt>
              <c:pt idx="12">
                <c:v>-2.3047586318339242E-2</c:v>
              </c:pt>
            </c:numLit>
          </c:val>
          <c:extLst>
            <c:ext xmlns:c16="http://schemas.microsoft.com/office/drawing/2014/chart" uri="{C3380CC4-5D6E-409C-BE32-E72D297353CC}">
              <c16:uniqueId val="{00000004-1780-491D-8642-0CB79ED7C317}"/>
            </c:ext>
          </c:extLst>
        </c:ser>
        <c:dLbls>
          <c:showLegendKey val="0"/>
          <c:showVal val="0"/>
          <c:showCatName val="0"/>
          <c:showSerName val="0"/>
          <c:showPercent val="0"/>
          <c:showBubbleSize val="0"/>
        </c:dLbls>
        <c:gapWidth val="50"/>
        <c:axId val="415149447"/>
        <c:axId val="415144199"/>
      </c:barChart>
      <c:lineChart>
        <c:grouping val="standard"/>
        <c:varyColors val="0"/>
        <c:ser>
          <c:idx val="0"/>
          <c:order val="0"/>
          <c:tx>
            <c:v>Среднее количество штук в заказе </c:v>
          </c:tx>
          <c:spPr>
            <a:ln w="28575" cap="rnd">
              <a:solidFill>
                <a:schemeClr val="accent1"/>
              </a:solidFill>
              <a:round/>
            </a:ln>
            <a:effectLst/>
          </c:spPr>
          <c:marker>
            <c:symbol val="none"/>
          </c:marker>
          <c:dPt>
            <c:idx val="12"/>
            <c:marker>
              <c:symbol val="none"/>
            </c:marker>
            <c:bubble3D val="0"/>
            <c:extLst>
              <c:ext xmlns:c16="http://schemas.microsoft.com/office/drawing/2014/chart" uri="{C3380CC4-5D6E-409C-BE32-E72D297353CC}">
                <c16:uniqueId val="{00000005-1780-491D-8642-0CB79ED7C317}"/>
              </c:ext>
            </c:extLst>
          </c:dPt>
          <c:dLbls>
            <c:dLbl>
              <c:idx val="12"/>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780-491D-8642-0CB79ED7C317}"/>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3"/>
              <c:pt idx="0">
                <c:v>201905</c:v>
              </c:pt>
              <c:pt idx="1">
                <c:v>201906</c:v>
              </c:pt>
              <c:pt idx="2">
                <c:v>201907</c:v>
              </c:pt>
              <c:pt idx="3">
                <c:v>201908</c:v>
              </c:pt>
              <c:pt idx="4">
                <c:v>201909</c:v>
              </c:pt>
              <c:pt idx="5">
                <c:v>201910</c:v>
              </c:pt>
              <c:pt idx="6">
                <c:v>201911</c:v>
              </c:pt>
              <c:pt idx="7">
                <c:v>201912</c:v>
              </c:pt>
              <c:pt idx="8">
                <c:v>202001</c:v>
              </c:pt>
              <c:pt idx="9">
                <c:v>202002</c:v>
              </c:pt>
              <c:pt idx="10">
                <c:v>202003</c:v>
              </c:pt>
              <c:pt idx="11">
                <c:v>202004</c:v>
              </c:pt>
              <c:pt idx="12">
                <c:v>202005</c:v>
              </c:pt>
            </c:strLit>
          </c:cat>
          <c:val>
            <c:numLit>
              <c:formatCode>General</c:formatCode>
              <c:ptCount val="13"/>
              <c:pt idx="0">
                <c:v>9.5658894403773118</c:v>
              </c:pt>
              <c:pt idx="1">
                <c:v>8.5544722018780188</c:v>
              </c:pt>
              <c:pt idx="2">
                <c:v>8.2231154693989676</c:v>
              </c:pt>
              <c:pt idx="3">
                <c:v>7.6315417993126546</c:v>
              </c:pt>
              <c:pt idx="4">
                <c:v>7.4162338708149385</c:v>
              </c:pt>
              <c:pt idx="5">
                <c:v>7.6940637306018056</c:v>
              </c:pt>
              <c:pt idx="6">
                <c:v>8.2280382031739734</c:v>
              </c:pt>
              <c:pt idx="7">
                <c:v>8.2735627418767983</c:v>
              </c:pt>
              <c:pt idx="8">
                <c:v>8.1853651568149086</c:v>
              </c:pt>
              <c:pt idx="9">
                <c:v>8.6385911659531196</c:v>
              </c:pt>
              <c:pt idx="10">
                <c:v>8.2656065873567712</c:v>
              </c:pt>
              <c:pt idx="11">
                <c:v>8.0332839623431038</c:v>
              </c:pt>
              <c:pt idx="12">
                <c:v>7.8481361568012709</c:v>
              </c:pt>
            </c:numLit>
          </c:val>
          <c:smooth val="1"/>
          <c:extLst>
            <c:ext xmlns:c16="http://schemas.microsoft.com/office/drawing/2014/chart" uri="{C3380CC4-5D6E-409C-BE32-E72D297353CC}">
              <c16:uniqueId val="{00000006-1780-491D-8642-0CB79ED7C317}"/>
            </c:ext>
          </c:extLst>
        </c:ser>
        <c:dLbls>
          <c:showLegendKey val="0"/>
          <c:showVal val="0"/>
          <c:showCatName val="0"/>
          <c:showSerName val="0"/>
          <c:showPercent val="0"/>
          <c:showBubbleSize val="0"/>
        </c:dLbls>
        <c:marker val="1"/>
        <c:smooth val="0"/>
        <c:axId val="445742623"/>
        <c:axId val="445738031"/>
      </c:lineChart>
      <c:catAx>
        <c:axId val="44574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445738031"/>
        <c:crosses val="autoZero"/>
        <c:auto val="1"/>
        <c:lblAlgn val="ctr"/>
        <c:lblOffset val="100"/>
        <c:noMultiLvlLbl val="0"/>
      </c:catAx>
      <c:valAx>
        <c:axId val="445738031"/>
        <c:scaling>
          <c:orientation val="minMax"/>
          <c:min val="6"/>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445742623"/>
        <c:crosses val="autoZero"/>
        <c:crossBetween val="between"/>
      </c:valAx>
      <c:valAx>
        <c:axId val="415144199"/>
        <c:scaling>
          <c:orientation val="minMax"/>
          <c:max val="0.15000000000000002"/>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415149447"/>
        <c:crosses val="max"/>
        <c:crossBetween val="between"/>
      </c:valAx>
      <c:catAx>
        <c:axId val="415149447"/>
        <c:scaling>
          <c:orientation val="minMax"/>
        </c:scaling>
        <c:delete val="1"/>
        <c:axPos val="b"/>
        <c:numFmt formatCode="General" sourceLinked="1"/>
        <c:majorTickMark val="out"/>
        <c:minorTickMark val="none"/>
        <c:tickLblPos val="nextTo"/>
        <c:crossAx val="41514419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средняя стоимость товара,</a:t>
            </a:r>
            <a:r>
              <a:rPr lang="ru-RU" baseline="0"/>
              <a:t> руб</a:t>
            </a:r>
            <a:endParaRPr lang="ru-R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7C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7C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pivotFmt>
      <c:pivotFmt>
        <c:idx val="10"/>
        <c:spPr>
          <a:solidFill>
            <a:schemeClr val="accent6"/>
          </a:solidFill>
          <a:ln>
            <a:noFill/>
          </a:ln>
          <a:effectLst/>
        </c:spPr>
      </c:pivotFmt>
      <c:pivotFmt>
        <c:idx val="11"/>
        <c:spPr>
          <a:solidFill>
            <a:schemeClr val="accent6"/>
          </a:solidFill>
          <a:ln>
            <a:noFill/>
          </a:ln>
          <a:effectLst/>
        </c:spPr>
      </c:pivotFmt>
      <c:pivotFmt>
        <c:idx val="12"/>
        <c:spPr>
          <a:solidFill>
            <a:schemeClr val="accent6"/>
          </a:solidFill>
          <a:ln>
            <a:noFill/>
          </a:ln>
          <a:effectLst/>
        </c:spPr>
      </c:pivotFmt>
      <c:pivotFmt>
        <c:idx val="13"/>
        <c:spPr>
          <a:solidFill>
            <a:schemeClr val="accent6"/>
          </a:solidFill>
          <a:ln>
            <a:noFill/>
          </a:ln>
          <a:effectLst/>
        </c:spPr>
      </c:pivotFmt>
      <c:pivotFmt>
        <c:idx val="14"/>
        <c:spPr>
          <a:solidFill>
            <a:schemeClr val="accent6"/>
          </a:solidFill>
          <a:ln>
            <a:noFill/>
          </a:ln>
          <a:effectLst/>
        </c:spPr>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v>Дельта MoM</c:v>
          </c:tx>
          <c:spPr>
            <a:solidFill>
              <a:schemeClr val="accent6"/>
            </a:solidFill>
            <a:ln>
              <a:noFill/>
            </a:ln>
            <a:effectLst/>
          </c:spPr>
          <c:invertIfNegative val="0"/>
          <c:dPt>
            <c:idx val="3"/>
            <c:invertIfNegative val="0"/>
            <c:bubble3D val="0"/>
            <c:extLst>
              <c:ext xmlns:c16="http://schemas.microsoft.com/office/drawing/2014/chart" uri="{C3380CC4-5D6E-409C-BE32-E72D297353CC}">
                <c16:uniqueId val="{00000000-7F2C-4B33-AAE7-B66D657F9B35}"/>
              </c:ext>
            </c:extLst>
          </c:dPt>
          <c:dPt>
            <c:idx val="4"/>
            <c:invertIfNegative val="0"/>
            <c:bubble3D val="0"/>
            <c:extLst>
              <c:ext xmlns:c16="http://schemas.microsoft.com/office/drawing/2014/chart" uri="{C3380CC4-5D6E-409C-BE32-E72D297353CC}">
                <c16:uniqueId val="{00000001-7F2C-4B33-AAE7-B66D657F9B35}"/>
              </c:ext>
            </c:extLst>
          </c:dPt>
          <c:dPt>
            <c:idx val="6"/>
            <c:invertIfNegative val="0"/>
            <c:bubble3D val="0"/>
            <c:extLst>
              <c:ext xmlns:c16="http://schemas.microsoft.com/office/drawing/2014/chart" uri="{C3380CC4-5D6E-409C-BE32-E72D297353CC}">
                <c16:uniqueId val="{00000002-7F2C-4B33-AAE7-B66D657F9B35}"/>
              </c:ext>
            </c:extLst>
          </c:dPt>
          <c:dPt>
            <c:idx val="7"/>
            <c:invertIfNegative val="0"/>
            <c:bubble3D val="0"/>
            <c:extLst>
              <c:ext xmlns:c16="http://schemas.microsoft.com/office/drawing/2014/chart" uri="{C3380CC4-5D6E-409C-BE32-E72D297353CC}">
                <c16:uniqueId val="{00000003-7F2C-4B33-AAE7-B66D657F9B35}"/>
              </c:ext>
            </c:extLst>
          </c:dPt>
          <c:dPt>
            <c:idx val="9"/>
            <c:invertIfNegative val="0"/>
            <c:bubble3D val="0"/>
            <c:extLst>
              <c:ext xmlns:c16="http://schemas.microsoft.com/office/drawing/2014/chart" uri="{C3380CC4-5D6E-409C-BE32-E72D297353CC}">
                <c16:uniqueId val="{00000004-7F2C-4B33-AAE7-B66D657F9B35}"/>
              </c:ext>
            </c:extLst>
          </c:dPt>
          <c:dPt>
            <c:idx val="10"/>
            <c:invertIfNegative val="0"/>
            <c:bubble3D val="0"/>
            <c:extLst>
              <c:ext xmlns:c16="http://schemas.microsoft.com/office/drawing/2014/chart" uri="{C3380CC4-5D6E-409C-BE32-E72D297353CC}">
                <c16:uniqueId val="{00000005-7F2C-4B33-AAE7-B66D657F9B35}"/>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3"/>
              <c:pt idx="0">
                <c:v>201905</c:v>
              </c:pt>
              <c:pt idx="1">
                <c:v>201906</c:v>
              </c:pt>
              <c:pt idx="2">
                <c:v>201907</c:v>
              </c:pt>
              <c:pt idx="3">
                <c:v>201908</c:v>
              </c:pt>
              <c:pt idx="4">
                <c:v>201909</c:v>
              </c:pt>
              <c:pt idx="5">
                <c:v>201910</c:v>
              </c:pt>
              <c:pt idx="6">
                <c:v>201911</c:v>
              </c:pt>
              <c:pt idx="7">
                <c:v>201912</c:v>
              </c:pt>
              <c:pt idx="8">
                <c:v>202001</c:v>
              </c:pt>
              <c:pt idx="9">
                <c:v>202002</c:v>
              </c:pt>
              <c:pt idx="10">
                <c:v>202003</c:v>
              </c:pt>
              <c:pt idx="11">
                <c:v>202004</c:v>
              </c:pt>
              <c:pt idx="12">
                <c:v>202005</c:v>
              </c:pt>
            </c:strLit>
          </c:cat>
          <c:val>
            <c:numLit>
              <c:formatCode>General</c:formatCode>
              <c:ptCount val="13"/>
              <c:pt idx="0">
                <c:v>0</c:v>
              </c:pt>
              <c:pt idx="1">
                <c:v>-2.5910810771162734E-2</c:v>
              </c:pt>
              <c:pt idx="2">
                <c:v>-2.7589799950002119E-3</c:v>
              </c:pt>
              <c:pt idx="3">
                <c:v>4.7648371626151834E-2</c:v>
              </c:pt>
              <c:pt idx="4">
                <c:v>2.8752833730011126E-2</c:v>
              </c:pt>
              <c:pt idx="5">
                <c:v>-2.3806760745523552E-2</c:v>
              </c:pt>
              <c:pt idx="6">
                <c:v>1.1654287294545674E-2</c:v>
              </c:pt>
              <c:pt idx="7">
                <c:v>6.0756793873572773E-2</c:v>
              </c:pt>
              <c:pt idx="8">
                <c:v>-1.5044081873075996E-3</c:v>
              </c:pt>
              <c:pt idx="9">
                <c:v>2.7645973824280877E-2</c:v>
              </c:pt>
              <c:pt idx="10">
                <c:v>1.0504724240989288E-2</c:v>
              </c:pt>
              <c:pt idx="11">
                <c:v>-1.3643777168586186E-2</c:v>
              </c:pt>
              <c:pt idx="12">
                <c:v>-1.5670008592209891E-2</c:v>
              </c:pt>
            </c:numLit>
          </c:val>
          <c:extLst>
            <c:ext xmlns:c16="http://schemas.microsoft.com/office/drawing/2014/chart" uri="{C3380CC4-5D6E-409C-BE32-E72D297353CC}">
              <c16:uniqueId val="{00000006-7F2C-4B33-AAE7-B66D657F9B35}"/>
            </c:ext>
          </c:extLst>
        </c:ser>
        <c:dLbls>
          <c:showLegendKey val="0"/>
          <c:showVal val="0"/>
          <c:showCatName val="0"/>
          <c:showSerName val="0"/>
          <c:showPercent val="0"/>
          <c:showBubbleSize val="0"/>
        </c:dLbls>
        <c:gapWidth val="50"/>
        <c:axId val="431567119"/>
        <c:axId val="431565807"/>
      </c:barChart>
      <c:lineChart>
        <c:grouping val="standard"/>
        <c:varyColors val="0"/>
        <c:ser>
          <c:idx val="0"/>
          <c:order val="0"/>
          <c:tx>
            <c:v>Средняя стоимость SKU</c:v>
          </c:tx>
          <c:spPr>
            <a:ln w="28575" cap="rnd">
              <a:solidFill>
                <a:schemeClr val="accent1"/>
              </a:solidFill>
              <a:round/>
            </a:ln>
            <a:effectLst/>
          </c:spPr>
          <c:marker>
            <c:symbol val="none"/>
          </c:marker>
          <c:dPt>
            <c:idx val="12"/>
            <c:marker>
              <c:symbol val="none"/>
            </c:marker>
            <c:bubble3D val="0"/>
            <c:extLst>
              <c:ext xmlns:c16="http://schemas.microsoft.com/office/drawing/2014/chart" uri="{C3380CC4-5D6E-409C-BE32-E72D297353CC}">
                <c16:uniqueId val="{00000007-7F2C-4B33-AAE7-B66D657F9B35}"/>
              </c:ext>
            </c:extLst>
          </c:dPt>
          <c:dLbls>
            <c:dLbl>
              <c:idx val="12"/>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F2C-4B33-AAE7-B66D657F9B35}"/>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3"/>
              <c:pt idx="0">
                <c:v>201905</c:v>
              </c:pt>
              <c:pt idx="1">
                <c:v>201906</c:v>
              </c:pt>
              <c:pt idx="2">
                <c:v>201907</c:v>
              </c:pt>
              <c:pt idx="3">
                <c:v>201908</c:v>
              </c:pt>
              <c:pt idx="4">
                <c:v>201909</c:v>
              </c:pt>
              <c:pt idx="5">
                <c:v>201910</c:v>
              </c:pt>
              <c:pt idx="6">
                <c:v>201911</c:v>
              </c:pt>
              <c:pt idx="7">
                <c:v>201912</c:v>
              </c:pt>
              <c:pt idx="8">
                <c:v>202001</c:v>
              </c:pt>
              <c:pt idx="9">
                <c:v>202002</c:v>
              </c:pt>
              <c:pt idx="10">
                <c:v>202003</c:v>
              </c:pt>
              <c:pt idx="11">
                <c:v>202004</c:v>
              </c:pt>
              <c:pt idx="12">
                <c:v>202005</c:v>
              </c:pt>
            </c:strLit>
          </c:cat>
          <c:val>
            <c:numLit>
              <c:formatCode>General</c:formatCode>
              <c:ptCount val="13"/>
              <c:pt idx="0">
                <c:v>102.10303379337263</c:v>
              </c:pt>
              <c:pt idx="1">
                <c:v>99.457461405590919</c:v>
              </c:pt>
              <c:pt idx="2">
                <c:v>99.183060259219388</c:v>
              </c:pt>
              <c:pt idx="3">
                <c:v>103.90897157346969</c:v>
              </c:pt>
              <c:pt idx="4">
                <c:v>106.89664895617811</c:v>
              </c:pt>
              <c:pt idx="5">
                <c:v>104.35178600998016</c:v>
              </c:pt>
              <c:pt idx="6">
                <c:v>105.56793170383942</c:v>
              </c:pt>
              <c:pt idx="7">
                <c:v>111.981900770029</c:v>
              </c:pt>
              <c:pt idx="8">
                <c:v>111.8134342816803</c:v>
              </c:pt>
              <c:pt idx="9">
                <c:v>114.90462555903459</c:v>
              </c:pt>
              <c:pt idx="10">
                <c:v>116.11166696454637</c:v>
              </c:pt>
              <c:pt idx="11">
                <c:v>114.52746525380901</c:v>
              </c:pt>
              <c:pt idx="12">
                <c:v>112.73281888923781</c:v>
              </c:pt>
            </c:numLit>
          </c:val>
          <c:smooth val="1"/>
          <c:extLst>
            <c:ext xmlns:c16="http://schemas.microsoft.com/office/drawing/2014/chart" uri="{C3380CC4-5D6E-409C-BE32-E72D297353CC}">
              <c16:uniqueId val="{00000008-7F2C-4B33-AAE7-B66D657F9B35}"/>
            </c:ext>
          </c:extLst>
        </c:ser>
        <c:dLbls>
          <c:showLegendKey val="0"/>
          <c:showVal val="0"/>
          <c:showCatName val="0"/>
          <c:showSerName val="0"/>
          <c:showPercent val="0"/>
          <c:showBubbleSize val="0"/>
        </c:dLbls>
        <c:marker val="1"/>
        <c:smooth val="0"/>
        <c:axId val="431636655"/>
        <c:axId val="431641247"/>
      </c:lineChart>
      <c:catAx>
        <c:axId val="43163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431641247"/>
        <c:crosses val="autoZero"/>
        <c:auto val="1"/>
        <c:lblAlgn val="ctr"/>
        <c:lblOffset val="100"/>
        <c:noMultiLvlLbl val="0"/>
      </c:catAx>
      <c:valAx>
        <c:axId val="431641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431636655"/>
        <c:crosses val="autoZero"/>
        <c:crossBetween val="between"/>
      </c:valAx>
      <c:valAx>
        <c:axId val="431565807"/>
        <c:scaling>
          <c:orientation val="minMax"/>
          <c:min val="-8.0000000000000016E-2"/>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431567119"/>
        <c:crosses val="max"/>
        <c:crossBetween val="between"/>
      </c:valAx>
      <c:catAx>
        <c:axId val="431567119"/>
        <c:scaling>
          <c:orientation val="minMax"/>
        </c:scaling>
        <c:delete val="1"/>
        <c:axPos val="b"/>
        <c:numFmt formatCode="General" sourceLinked="1"/>
        <c:majorTickMark val="out"/>
        <c:minorTickMark val="none"/>
        <c:tickLblPos val="nextTo"/>
        <c:crossAx val="431565807"/>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baseline="0"/>
              <a:t>товарный запас на 1 склад, тыс.руб.</a:t>
            </a:r>
            <a:endParaRPr lang="ru-R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7C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7C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7C80"/>
          </a:solidFill>
          <a:ln>
            <a:noFill/>
          </a:ln>
          <a:effectLst/>
        </c:spPr>
      </c:pivotFmt>
      <c:pivotFmt>
        <c:idx val="10"/>
        <c:spPr>
          <a:solidFill>
            <a:srgbClr val="FF7C80"/>
          </a:solidFill>
          <a:ln>
            <a:noFill/>
          </a:ln>
          <a:effectLst/>
        </c:spPr>
      </c:pivotFmt>
      <c:pivotFmt>
        <c:idx val="11"/>
        <c:spPr>
          <a:solidFill>
            <a:srgbClr val="FF7C80"/>
          </a:solidFill>
          <a:ln>
            <a:noFill/>
          </a:ln>
          <a:effectLst/>
        </c:spPr>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v>Дельта MoM</c:v>
          </c:tx>
          <c:spPr>
            <a:solidFill>
              <a:schemeClr val="accent6"/>
            </a:solidFill>
            <a:ln>
              <a:noFill/>
            </a:ln>
            <a:effectLst/>
          </c:spPr>
          <c:invertIfNegative val="0"/>
          <c:dPt>
            <c:idx val="2"/>
            <c:invertIfNegative val="0"/>
            <c:bubble3D val="0"/>
            <c:extLst>
              <c:ext xmlns:c16="http://schemas.microsoft.com/office/drawing/2014/chart" uri="{C3380CC4-5D6E-409C-BE32-E72D297353CC}">
                <c16:uniqueId val="{00000000-C554-48AA-AD05-7CB048820579}"/>
              </c:ext>
            </c:extLst>
          </c:dPt>
          <c:dPt>
            <c:idx val="8"/>
            <c:invertIfNegative val="0"/>
            <c:bubble3D val="0"/>
            <c:extLst>
              <c:ext xmlns:c16="http://schemas.microsoft.com/office/drawing/2014/chart" uri="{C3380CC4-5D6E-409C-BE32-E72D297353CC}">
                <c16:uniqueId val="{00000001-C554-48AA-AD05-7CB048820579}"/>
              </c:ext>
            </c:extLst>
          </c:dPt>
          <c:dPt>
            <c:idx val="11"/>
            <c:invertIfNegative val="0"/>
            <c:bubble3D val="0"/>
            <c:extLst>
              <c:ext xmlns:c16="http://schemas.microsoft.com/office/drawing/2014/chart" uri="{C3380CC4-5D6E-409C-BE32-E72D297353CC}">
                <c16:uniqueId val="{00000002-C554-48AA-AD05-7CB048820579}"/>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3"/>
              <c:pt idx="0">
                <c:v>201905</c:v>
              </c:pt>
              <c:pt idx="1">
                <c:v>201906</c:v>
              </c:pt>
              <c:pt idx="2">
                <c:v>201907</c:v>
              </c:pt>
              <c:pt idx="3">
                <c:v>201908</c:v>
              </c:pt>
              <c:pt idx="4">
                <c:v>201909</c:v>
              </c:pt>
              <c:pt idx="5">
                <c:v>201910</c:v>
              </c:pt>
              <c:pt idx="6">
                <c:v>201911</c:v>
              </c:pt>
              <c:pt idx="7">
                <c:v>201912</c:v>
              </c:pt>
              <c:pt idx="8">
                <c:v>202001</c:v>
              </c:pt>
              <c:pt idx="9">
                <c:v>202002</c:v>
              </c:pt>
              <c:pt idx="10">
                <c:v>202003</c:v>
              </c:pt>
              <c:pt idx="11">
                <c:v>202004</c:v>
              </c:pt>
              <c:pt idx="12">
                <c:v>202005</c:v>
              </c:pt>
            </c:strLit>
          </c:cat>
          <c:val>
            <c:numLit>
              <c:formatCode>General</c:formatCode>
              <c:ptCount val="13"/>
              <c:pt idx="0">
                <c:v>0</c:v>
              </c:pt>
              <c:pt idx="1">
                <c:v>0.10892687463532778</c:v>
              </c:pt>
              <c:pt idx="2">
                <c:v>-0.18479456131309002</c:v>
              </c:pt>
              <c:pt idx="3">
                <c:v>0.2124735427260363</c:v>
              </c:pt>
              <c:pt idx="4">
                <c:v>8.9770057614028412E-2</c:v>
              </c:pt>
              <c:pt idx="5">
                <c:v>9.3650204606851778E-2</c:v>
              </c:pt>
              <c:pt idx="6">
                <c:v>0.10060512744379951</c:v>
              </c:pt>
              <c:pt idx="7">
                <c:v>0.14672572484011534</c:v>
              </c:pt>
              <c:pt idx="8">
                <c:v>-6.4891327372647148E-2</c:v>
              </c:pt>
              <c:pt idx="9">
                <c:v>0.12176540407313839</c:v>
              </c:pt>
              <c:pt idx="10">
                <c:v>3.4758039037816921E-2</c:v>
              </c:pt>
              <c:pt idx="11">
                <c:v>-9.4974072149102591E-3</c:v>
              </c:pt>
              <c:pt idx="12">
                <c:v>2.8110779758128073E-2</c:v>
              </c:pt>
            </c:numLit>
          </c:val>
          <c:extLst>
            <c:ext xmlns:c16="http://schemas.microsoft.com/office/drawing/2014/chart" uri="{C3380CC4-5D6E-409C-BE32-E72D297353CC}">
              <c16:uniqueId val="{00000003-C554-48AA-AD05-7CB048820579}"/>
            </c:ext>
          </c:extLst>
        </c:ser>
        <c:dLbls>
          <c:showLegendKey val="0"/>
          <c:showVal val="0"/>
          <c:showCatName val="0"/>
          <c:showSerName val="0"/>
          <c:showPercent val="0"/>
          <c:showBubbleSize val="0"/>
        </c:dLbls>
        <c:gapWidth val="50"/>
        <c:axId val="918718328"/>
        <c:axId val="918715048"/>
      </c:barChart>
      <c:lineChart>
        <c:grouping val="standard"/>
        <c:varyColors val="0"/>
        <c:ser>
          <c:idx val="0"/>
          <c:order val="0"/>
          <c:tx>
            <c:v>Средний ТЗ на складе, млн руб </c:v>
          </c:tx>
          <c:spPr>
            <a:ln w="28575" cap="rnd">
              <a:solidFill>
                <a:schemeClr val="accent1"/>
              </a:solidFill>
              <a:round/>
            </a:ln>
            <a:effectLst/>
          </c:spPr>
          <c:marker>
            <c:symbol val="none"/>
          </c:marker>
          <c:dPt>
            <c:idx val="12"/>
            <c:marker>
              <c:symbol val="none"/>
            </c:marker>
            <c:bubble3D val="0"/>
            <c:extLst>
              <c:ext xmlns:c16="http://schemas.microsoft.com/office/drawing/2014/chart" uri="{C3380CC4-5D6E-409C-BE32-E72D297353CC}">
                <c16:uniqueId val="{00000004-C554-48AA-AD05-7CB048820579}"/>
              </c:ext>
            </c:extLst>
          </c:dPt>
          <c:dLbls>
            <c:dLbl>
              <c:idx val="12"/>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554-48AA-AD05-7CB048820579}"/>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3"/>
              <c:pt idx="0">
                <c:v>201905</c:v>
              </c:pt>
              <c:pt idx="1">
                <c:v>201906</c:v>
              </c:pt>
              <c:pt idx="2">
                <c:v>201907</c:v>
              </c:pt>
              <c:pt idx="3">
                <c:v>201908</c:v>
              </c:pt>
              <c:pt idx="4">
                <c:v>201909</c:v>
              </c:pt>
              <c:pt idx="5">
                <c:v>201910</c:v>
              </c:pt>
              <c:pt idx="6">
                <c:v>201911</c:v>
              </c:pt>
              <c:pt idx="7">
                <c:v>201912</c:v>
              </c:pt>
              <c:pt idx="8">
                <c:v>202001</c:v>
              </c:pt>
              <c:pt idx="9">
                <c:v>202002</c:v>
              </c:pt>
              <c:pt idx="10">
                <c:v>202003</c:v>
              </c:pt>
              <c:pt idx="11">
                <c:v>202004</c:v>
              </c:pt>
              <c:pt idx="12">
                <c:v>202005</c:v>
              </c:pt>
            </c:strLit>
          </c:cat>
          <c:val>
            <c:numLit>
              <c:formatCode>General</c:formatCode>
              <c:ptCount val="13"/>
              <c:pt idx="0">
                <c:v>12.047558248433557</c:v>
              </c:pt>
              <c:pt idx="1">
                <c:v>13.359861115422488</c:v>
              </c:pt>
              <c:pt idx="2">
                <c:v>10.89103144139418</c:v>
              </c:pt>
              <c:pt idx="3">
                <c:v>13.205087475687851</c:v>
              </c:pt>
              <c:pt idx="4">
                <c:v>14.390508939178634</c:v>
              </c:pt>
              <c:pt idx="5">
                <c:v>15.738183045729443</c:v>
              </c:pt>
              <c:pt idx="6">
                <c:v>17.321524956778898</c:v>
              </c:pt>
              <c:pt idx="7">
                <c:v>19.86303826139843</c:v>
              </c:pt>
              <c:pt idx="8">
                <c:v>18.574099342962608</c:v>
              </c:pt>
              <c:pt idx="9">
                <c:v>20.835782054753064</c:v>
              </c:pt>
              <c:pt idx="10">
                <c:v>21.559992980795617</c:v>
              </c:pt>
              <c:pt idx="11">
                <c:v>21.355228947906394</c:v>
              </c:pt>
              <c:pt idx="12">
                <c:v>21.955541085545391</c:v>
              </c:pt>
            </c:numLit>
          </c:val>
          <c:smooth val="1"/>
          <c:extLst>
            <c:ext xmlns:c16="http://schemas.microsoft.com/office/drawing/2014/chart" uri="{C3380CC4-5D6E-409C-BE32-E72D297353CC}">
              <c16:uniqueId val="{00000005-C554-48AA-AD05-7CB048820579}"/>
            </c:ext>
          </c:extLst>
        </c:ser>
        <c:dLbls>
          <c:showLegendKey val="0"/>
          <c:showVal val="0"/>
          <c:showCatName val="0"/>
          <c:showSerName val="0"/>
          <c:showPercent val="0"/>
          <c:showBubbleSize val="0"/>
        </c:dLbls>
        <c:marker val="1"/>
        <c:smooth val="0"/>
        <c:axId val="501419679"/>
        <c:axId val="501422631"/>
      </c:lineChart>
      <c:catAx>
        <c:axId val="501419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501422631"/>
        <c:crosses val="autoZero"/>
        <c:auto val="1"/>
        <c:lblAlgn val="ctr"/>
        <c:lblOffset val="100"/>
        <c:noMultiLvlLbl val="0"/>
      </c:catAx>
      <c:valAx>
        <c:axId val="501422631"/>
        <c:scaling>
          <c:orientation val="minMax"/>
          <c:min val="1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501419679"/>
        <c:crosses val="autoZero"/>
        <c:crossBetween val="between"/>
      </c:valAx>
      <c:valAx>
        <c:axId val="918715048"/>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918718328"/>
        <c:crosses val="max"/>
        <c:crossBetween val="between"/>
      </c:valAx>
      <c:catAx>
        <c:axId val="918718328"/>
        <c:scaling>
          <c:orientation val="minMax"/>
        </c:scaling>
        <c:delete val="1"/>
        <c:axPos val="b"/>
        <c:numFmt formatCode="General" sourceLinked="1"/>
        <c:majorTickMark val="out"/>
        <c:minorTickMark val="none"/>
        <c:tickLblPos val="nextTo"/>
        <c:crossAx val="91871504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Потери,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7C80"/>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7C80"/>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layout>
            <c:manualLayout>
              <c:x val="-6.1649554090974536E-2"/>
              <c:y val="8.17903401997503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7C80"/>
          </a:solidFill>
          <a:ln>
            <a:noFill/>
          </a:ln>
          <a:effectLst/>
        </c:spPr>
      </c:pivotFmt>
      <c:pivotFmt>
        <c:idx val="10"/>
        <c:spPr>
          <a:solidFill>
            <a:srgbClr val="FF7C80"/>
          </a:solidFill>
          <a:ln>
            <a:noFill/>
          </a:ln>
          <a:effectLst/>
        </c:spPr>
      </c:pivotFmt>
      <c:pivotFmt>
        <c:idx val="11"/>
        <c:spPr>
          <a:solidFill>
            <a:srgbClr val="FF7C80"/>
          </a:solidFill>
          <a:ln>
            <a:noFill/>
          </a:ln>
          <a:effectLst/>
        </c:spPr>
      </c:pivotFmt>
      <c:pivotFmt>
        <c:idx val="12"/>
        <c:spPr>
          <a:solidFill>
            <a:srgbClr val="FF7C80"/>
          </a:solidFill>
          <a:ln>
            <a:noFill/>
          </a:ln>
          <a:effectLst/>
        </c:spPr>
      </c:pivotFmt>
      <c:pivotFmt>
        <c:idx val="13"/>
        <c:spPr>
          <a:solidFill>
            <a:srgbClr val="FF7C80"/>
          </a:solidFill>
          <a:ln>
            <a:noFill/>
          </a:ln>
          <a:effectLst/>
        </c:spPr>
      </c:pivotFmt>
      <c:pivotFmt>
        <c:idx val="14"/>
        <c:spPr>
          <a:solidFill>
            <a:srgbClr val="FF7C80"/>
          </a:solidFill>
          <a:ln>
            <a:noFill/>
          </a:ln>
          <a:effectLst/>
        </c:spPr>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v>Дельта MoM</c:v>
          </c:tx>
          <c:spPr>
            <a:solidFill>
              <a:schemeClr val="accent6"/>
            </a:solidFill>
            <a:ln>
              <a:noFill/>
            </a:ln>
            <a:effectLst/>
          </c:spPr>
          <c:invertIfNegative val="0"/>
          <c:dPt>
            <c:idx val="1"/>
            <c:invertIfNegative val="0"/>
            <c:bubble3D val="0"/>
            <c:extLst>
              <c:ext xmlns:c16="http://schemas.microsoft.com/office/drawing/2014/chart" uri="{C3380CC4-5D6E-409C-BE32-E72D297353CC}">
                <c16:uniqueId val="{00000000-2466-426A-AD82-CA21972664E6}"/>
              </c:ext>
            </c:extLst>
          </c:dPt>
          <c:dPt>
            <c:idx val="7"/>
            <c:invertIfNegative val="0"/>
            <c:bubble3D val="0"/>
            <c:extLst>
              <c:ext xmlns:c16="http://schemas.microsoft.com/office/drawing/2014/chart" uri="{C3380CC4-5D6E-409C-BE32-E72D297353CC}">
                <c16:uniqueId val="{00000001-2466-426A-AD82-CA21972664E6}"/>
              </c:ext>
            </c:extLst>
          </c:dPt>
          <c:dPt>
            <c:idx val="8"/>
            <c:invertIfNegative val="0"/>
            <c:bubble3D val="0"/>
            <c:extLst>
              <c:ext xmlns:c16="http://schemas.microsoft.com/office/drawing/2014/chart" uri="{C3380CC4-5D6E-409C-BE32-E72D297353CC}">
                <c16:uniqueId val="{00000002-2466-426A-AD82-CA21972664E6}"/>
              </c:ext>
            </c:extLst>
          </c:dPt>
          <c:dPt>
            <c:idx val="10"/>
            <c:invertIfNegative val="0"/>
            <c:bubble3D val="0"/>
            <c:extLst>
              <c:ext xmlns:c16="http://schemas.microsoft.com/office/drawing/2014/chart" uri="{C3380CC4-5D6E-409C-BE32-E72D297353CC}">
                <c16:uniqueId val="{00000003-2466-426A-AD82-CA21972664E6}"/>
              </c:ext>
            </c:extLst>
          </c:dPt>
          <c:dPt>
            <c:idx val="11"/>
            <c:invertIfNegative val="0"/>
            <c:bubble3D val="0"/>
            <c:extLst>
              <c:ext xmlns:c16="http://schemas.microsoft.com/office/drawing/2014/chart" uri="{C3380CC4-5D6E-409C-BE32-E72D297353CC}">
                <c16:uniqueId val="{00000004-2466-426A-AD82-CA21972664E6}"/>
              </c:ext>
            </c:extLst>
          </c:dPt>
          <c:dPt>
            <c:idx val="12"/>
            <c:invertIfNegative val="0"/>
            <c:bubble3D val="0"/>
            <c:extLst>
              <c:ext xmlns:c16="http://schemas.microsoft.com/office/drawing/2014/chart" uri="{C3380CC4-5D6E-409C-BE32-E72D297353CC}">
                <c16:uniqueId val="{00000005-2466-426A-AD82-CA21972664E6}"/>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50000"/>
                      </a:schemeClr>
                    </a:solidFill>
                    <a:latin typeface="+mn-lt"/>
                    <a:ea typeface="+mn-ea"/>
                    <a:cs typeface="+mn-cs"/>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3"/>
              <c:pt idx="0">
                <c:v>201905</c:v>
              </c:pt>
              <c:pt idx="1">
                <c:v>201906</c:v>
              </c:pt>
              <c:pt idx="2">
                <c:v>201907</c:v>
              </c:pt>
              <c:pt idx="3">
                <c:v>201908</c:v>
              </c:pt>
              <c:pt idx="4">
                <c:v>201909</c:v>
              </c:pt>
              <c:pt idx="5">
                <c:v>201910</c:v>
              </c:pt>
              <c:pt idx="6">
                <c:v>201911</c:v>
              </c:pt>
              <c:pt idx="7">
                <c:v>201912</c:v>
              </c:pt>
              <c:pt idx="8">
                <c:v>202001</c:v>
              </c:pt>
              <c:pt idx="9">
                <c:v>202002</c:v>
              </c:pt>
              <c:pt idx="10">
                <c:v>202003</c:v>
              </c:pt>
              <c:pt idx="11">
                <c:v>202004</c:v>
              </c:pt>
              <c:pt idx="12">
                <c:v>202005</c:v>
              </c:pt>
            </c:strLit>
          </c:cat>
          <c:val>
            <c:numLit>
              <c:formatCode>General</c:formatCode>
              <c:ptCount val="13"/>
              <c:pt idx="0">
                <c:v>0</c:v>
              </c:pt>
              <c:pt idx="1">
                <c:v>3.158178538291952E-3</c:v>
              </c:pt>
              <c:pt idx="2">
                <c:v>-7.2990057758951822E-4</c:v>
              </c:pt>
              <c:pt idx="3">
                <c:v>-5.2267120482134884E-4</c:v>
              </c:pt>
              <c:pt idx="4">
                <c:v>-1.6779062299834098E-3</c:v>
              </c:pt>
              <c:pt idx="5">
                <c:v>-6.6192148827961617E-4</c:v>
              </c:pt>
              <c:pt idx="6">
                <c:v>-7.2420133892965545E-4</c:v>
              </c:pt>
              <c:pt idx="7">
                <c:v>5.6149382901513447E-4</c:v>
              </c:pt>
              <c:pt idx="8">
                <c:v>2.808325406456133E-4</c:v>
              </c:pt>
              <c:pt idx="9">
                <c:v>-3.3543256292179434E-4</c:v>
              </c:pt>
              <c:pt idx="10">
                <c:v>7.0750584537247231E-5</c:v>
              </c:pt>
              <c:pt idx="11">
                <c:v>5.8078843842250668E-4</c:v>
              </c:pt>
              <c:pt idx="12">
                <c:v>1.570512445685103E-3</c:v>
              </c:pt>
            </c:numLit>
          </c:val>
          <c:extLst>
            <c:ext xmlns:c16="http://schemas.microsoft.com/office/drawing/2014/chart" uri="{C3380CC4-5D6E-409C-BE32-E72D297353CC}">
              <c16:uniqueId val="{00000006-2466-426A-AD82-CA21972664E6}"/>
            </c:ext>
          </c:extLst>
        </c:ser>
        <c:dLbls>
          <c:showLegendKey val="0"/>
          <c:showVal val="0"/>
          <c:showCatName val="0"/>
          <c:showSerName val="0"/>
          <c:showPercent val="0"/>
          <c:showBubbleSize val="0"/>
        </c:dLbls>
        <c:gapWidth val="50"/>
        <c:axId val="821198160"/>
        <c:axId val="821201768"/>
      </c:barChart>
      <c:lineChart>
        <c:grouping val="standard"/>
        <c:varyColors val="0"/>
        <c:ser>
          <c:idx val="0"/>
          <c:order val="0"/>
          <c:tx>
            <c:v>Потери, % </c:v>
          </c:tx>
          <c:spPr>
            <a:ln w="28575" cap="rnd">
              <a:solidFill>
                <a:schemeClr val="accent1"/>
              </a:solidFill>
              <a:round/>
            </a:ln>
            <a:effectLst/>
          </c:spPr>
          <c:marker>
            <c:symbol val="none"/>
          </c:marker>
          <c:dPt>
            <c:idx val="12"/>
            <c:marker>
              <c:symbol val="none"/>
            </c:marker>
            <c:bubble3D val="0"/>
            <c:extLst>
              <c:ext xmlns:c16="http://schemas.microsoft.com/office/drawing/2014/chart" uri="{C3380CC4-5D6E-409C-BE32-E72D297353CC}">
                <c16:uniqueId val="{00000007-2466-426A-AD82-CA21972664E6}"/>
              </c:ext>
            </c:extLst>
          </c:dPt>
          <c:dLbls>
            <c:dLbl>
              <c:idx val="12"/>
              <c:layout>
                <c:manualLayout>
                  <c:x val="-6.4476584343870963E-2"/>
                  <c:y val="-0.1263256674184310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466-426A-AD82-CA21972664E6}"/>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ru-RU"/>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3"/>
              <c:pt idx="0">
                <c:v>201905</c:v>
              </c:pt>
              <c:pt idx="1">
                <c:v>201906</c:v>
              </c:pt>
              <c:pt idx="2">
                <c:v>201907</c:v>
              </c:pt>
              <c:pt idx="3">
                <c:v>201908</c:v>
              </c:pt>
              <c:pt idx="4">
                <c:v>201909</c:v>
              </c:pt>
              <c:pt idx="5">
                <c:v>201910</c:v>
              </c:pt>
              <c:pt idx="6">
                <c:v>201911</c:v>
              </c:pt>
              <c:pt idx="7">
                <c:v>201912</c:v>
              </c:pt>
              <c:pt idx="8">
                <c:v>202001</c:v>
              </c:pt>
              <c:pt idx="9">
                <c:v>202002</c:v>
              </c:pt>
              <c:pt idx="10">
                <c:v>202003</c:v>
              </c:pt>
              <c:pt idx="11">
                <c:v>202004</c:v>
              </c:pt>
              <c:pt idx="12">
                <c:v>202005</c:v>
              </c:pt>
            </c:strLit>
          </c:cat>
          <c:val>
            <c:numLit>
              <c:formatCode>General</c:formatCode>
              <c:ptCount val="13"/>
              <c:pt idx="0">
                <c:v>4.2089829685641577E-3</c:v>
              </c:pt>
              <c:pt idx="1">
                <c:v>7.3671615068561097E-3</c:v>
              </c:pt>
              <c:pt idx="2">
                <c:v>6.6372609292665915E-3</c:v>
              </c:pt>
              <c:pt idx="3">
                <c:v>6.1145897244452426E-3</c:v>
              </c:pt>
              <c:pt idx="4">
                <c:v>4.4366834944618329E-3</c:v>
              </c:pt>
              <c:pt idx="5">
                <c:v>3.7747620061822167E-3</c:v>
              </c:pt>
              <c:pt idx="6">
                <c:v>3.0505606672525613E-3</c:v>
              </c:pt>
              <c:pt idx="7">
                <c:v>3.6120544962676957E-3</c:v>
              </c:pt>
              <c:pt idx="8">
                <c:v>3.892887036913309E-3</c:v>
              </c:pt>
              <c:pt idx="9">
                <c:v>3.5574544739915147E-3</c:v>
              </c:pt>
              <c:pt idx="10">
                <c:v>3.6282050585287619E-3</c:v>
              </c:pt>
              <c:pt idx="11">
                <c:v>4.2089934969512686E-3</c:v>
              </c:pt>
              <c:pt idx="12">
                <c:v>5.7795059426363716E-3</c:v>
              </c:pt>
            </c:numLit>
          </c:val>
          <c:smooth val="1"/>
          <c:extLst>
            <c:ext xmlns:c16="http://schemas.microsoft.com/office/drawing/2014/chart" uri="{C3380CC4-5D6E-409C-BE32-E72D297353CC}">
              <c16:uniqueId val="{00000008-2466-426A-AD82-CA21972664E6}"/>
            </c:ext>
          </c:extLst>
        </c:ser>
        <c:dLbls>
          <c:showLegendKey val="0"/>
          <c:showVal val="0"/>
          <c:showCatName val="0"/>
          <c:showSerName val="0"/>
          <c:showPercent val="0"/>
          <c:showBubbleSize val="0"/>
        </c:dLbls>
        <c:marker val="1"/>
        <c:smooth val="0"/>
        <c:axId val="821194880"/>
        <c:axId val="821195208"/>
      </c:lineChart>
      <c:catAx>
        <c:axId val="82119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821195208"/>
        <c:crosses val="autoZero"/>
        <c:auto val="1"/>
        <c:lblAlgn val="ctr"/>
        <c:lblOffset val="100"/>
        <c:noMultiLvlLbl val="0"/>
      </c:catAx>
      <c:valAx>
        <c:axId val="82119520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821194880"/>
        <c:crosses val="autoZero"/>
        <c:crossBetween val="between"/>
      </c:valAx>
      <c:valAx>
        <c:axId val="821201768"/>
        <c:scaling>
          <c:orientation val="minMax"/>
          <c:min val="-5.000000000000001E-3"/>
        </c:scaling>
        <c:delete val="0"/>
        <c:axPos val="r"/>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821198160"/>
        <c:crosses val="max"/>
        <c:crossBetween val="between"/>
      </c:valAx>
      <c:catAx>
        <c:axId val="821198160"/>
        <c:scaling>
          <c:orientation val="minMax"/>
        </c:scaling>
        <c:delete val="1"/>
        <c:axPos val="b"/>
        <c:numFmt formatCode="General" sourceLinked="1"/>
        <c:majorTickMark val="out"/>
        <c:minorTickMark val="none"/>
        <c:tickLblPos val="nextTo"/>
        <c:crossAx val="82120176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28575</xdr:colOff>
      <xdr:row>70</xdr:row>
      <xdr:rowOff>0</xdr:rowOff>
    </xdr:from>
    <xdr:to>
      <xdr:col>3</xdr:col>
      <xdr:colOff>193040</xdr:colOff>
      <xdr:row>83</xdr:row>
      <xdr:rowOff>86360</xdr:rowOff>
    </xdr:to>
    <xdr:graphicFrame macro="">
      <xdr:nvGraphicFramePr>
        <xdr:cNvPr id="3" name="Диаграмма 2">
          <a:extLst>
            <a:ext uri="{FF2B5EF4-FFF2-40B4-BE49-F238E27FC236}">
              <a16:creationId xmlns:a16="http://schemas.microsoft.com/office/drawing/2014/main" id="{D94C9CC1-0BBD-4FB7-99D2-61950F597B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209550</xdr:colOff>
      <xdr:row>70</xdr:row>
      <xdr:rowOff>9525</xdr:rowOff>
    </xdr:from>
    <xdr:to>
      <xdr:col>8</xdr:col>
      <xdr:colOff>3175</xdr:colOff>
      <xdr:row>83</xdr:row>
      <xdr:rowOff>95885</xdr:rowOff>
    </xdr:to>
    <xdr:graphicFrame macro="">
      <xdr:nvGraphicFramePr>
        <xdr:cNvPr id="4" name="Диаграмма 3">
          <a:extLst>
            <a:ext uri="{FF2B5EF4-FFF2-40B4-BE49-F238E27FC236}">
              <a16:creationId xmlns:a16="http://schemas.microsoft.com/office/drawing/2014/main" id="{A74BB832-609B-4C90-9A8E-7CADF28CF7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28575</xdr:colOff>
      <xdr:row>83</xdr:row>
      <xdr:rowOff>123825</xdr:rowOff>
    </xdr:from>
    <xdr:to>
      <xdr:col>3</xdr:col>
      <xdr:colOff>184150</xdr:colOff>
      <xdr:row>97</xdr:row>
      <xdr:rowOff>19685</xdr:rowOff>
    </xdr:to>
    <xdr:graphicFrame macro="">
      <xdr:nvGraphicFramePr>
        <xdr:cNvPr id="5" name="Диаграмма 4">
          <a:extLst>
            <a:ext uri="{FF2B5EF4-FFF2-40B4-BE49-F238E27FC236}">
              <a16:creationId xmlns:a16="http://schemas.microsoft.com/office/drawing/2014/main" id="{0DE6460A-77D7-4FC6-AB8D-0D5FAAC8B7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200025</xdr:colOff>
      <xdr:row>83</xdr:row>
      <xdr:rowOff>123825</xdr:rowOff>
    </xdr:from>
    <xdr:to>
      <xdr:col>8</xdr:col>
      <xdr:colOff>2540</xdr:colOff>
      <xdr:row>97</xdr:row>
      <xdr:rowOff>19685</xdr:rowOff>
    </xdr:to>
    <xdr:graphicFrame macro="">
      <xdr:nvGraphicFramePr>
        <xdr:cNvPr id="6" name="Диаграмма 5">
          <a:extLst>
            <a:ext uri="{FF2B5EF4-FFF2-40B4-BE49-F238E27FC236}">
              <a16:creationId xmlns:a16="http://schemas.microsoft.com/office/drawing/2014/main" id="{F09205CF-1A12-4388-81B9-818E0A78D1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97</xdr:row>
      <xdr:rowOff>47625</xdr:rowOff>
    </xdr:from>
    <xdr:to>
      <xdr:col>3</xdr:col>
      <xdr:colOff>164465</xdr:colOff>
      <xdr:row>110</xdr:row>
      <xdr:rowOff>133985</xdr:rowOff>
    </xdr:to>
    <xdr:graphicFrame macro="">
      <xdr:nvGraphicFramePr>
        <xdr:cNvPr id="7" name="Диаграмма 6">
          <a:extLst>
            <a:ext uri="{FF2B5EF4-FFF2-40B4-BE49-F238E27FC236}">
              <a16:creationId xmlns:a16="http://schemas.microsoft.com/office/drawing/2014/main" id="{1662E9ED-82F6-46E1-BE5B-BEA9363294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200025</xdr:colOff>
      <xdr:row>97</xdr:row>
      <xdr:rowOff>47625</xdr:rowOff>
    </xdr:from>
    <xdr:to>
      <xdr:col>7</xdr:col>
      <xdr:colOff>603250</xdr:colOff>
      <xdr:row>110</xdr:row>
      <xdr:rowOff>133985</xdr:rowOff>
    </xdr:to>
    <xdr:graphicFrame macro="">
      <xdr:nvGraphicFramePr>
        <xdr:cNvPr id="8" name="Диаграмма 7">
          <a:extLst>
            <a:ext uri="{FF2B5EF4-FFF2-40B4-BE49-F238E27FC236}">
              <a16:creationId xmlns:a16="http://schemas.microsoft.com/office/drawing/2014/main" id="{3C202721-5318-48FD-A742-1A0E974DC5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9525</xdr:colOff>
      <xdr:row>110</xdr:row>
      <xdr:rowOff>171450</xdr:rowOff>
    </xdr:from>
    <xdr:to>
      <xdr:col>3</xdr:col>
      <xdr:colOff>169545</xdr:colOff>
      <xdr:row>124</xdr:row>
      <xdr:rowOff>67310</xdr:rowOff>
    </xdr:to>
    <xdr:graphicFrame macro="">
      <xdr:nvGraphicFramePr>
        <xdr:cNvPr id="9" name="Диаграмма 8">
          <a:extLst>
            <a:ext uri="{FF2B5EF4-FFF2-40B4-BE49-F238E27FC236}">
              <a16:creationId xmlns:a16="http://schemas.microsoft.com/office/drawing/2014/main" id="{B3CA7678-3E8D-4E34-BDC5-4AB17065E9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219075</xdr:colOff>
      <xdr:row>110</xdr:row>
      <xdr:rowOff>171450</xdr:rowOff>
    </xdr:from>
    <xdr:to>
      <xdr:col>8</xdr:col>
      <xdr:colOff>17145</xdr:colOff>
      <xdr:row>124</xdr:row>
      <xdr:rowOff>67310</xdr:rowOff>
    </xdr:to>
    <xdr:graphicFrame macro="">
      <xdr:nvGraphicFramePr>
        <xdr:cNvPr id="10" name="Диаграмма 9">
          <a:extLst>
            <a:ext uri="{FF2B5EF4-FFF2-40B4-BE49-F238E27FC236}">
              <a16:creationId xmlns:a16="http://schemas.microsoft.com/office/drawing/2014/main" id="{F3C4AC50-B61D-43DC-93D3-1F4A60C69A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Владимир Петрухин" refreshedDate="45866.621765509262" createdVersion="7" refreshedVersion="7" minRefreshableVersion="3" recordCount="504" xr:uid="{18BBE411-2932-4168-B359-9218DF57F2CF}">
  <cacheSource type="worksheet">
    <worksheetSource ref="A1:J505" sheet="Лист1"/>
  </cacheSource>
  <cacheFields count="13">
    <cacheField name="Дата" numFmtId="164">
      <sharedItems containsSemiMixedTypes="0" containsNonDate="0" containsDate="1" containsString="0" minDate="2020-04-28T00:00:00" maxDate="2020-06-02T00:00:00"/>
    </cacheField>
    <cacheField name="№ недели" numFmtId="1">
      <sharedItems containsSemiMixedTypes="0" containsString="0" containsNumber="1" containsInteger="1" minValue="18" maxValue="23" count="6">
        <n v="22"/>
        <n v="20"/>
        <n v="21"/>
        <n v="19"/>
        <n v="18"/>
        <n v="23"/>
      </sharedItems>
    </cacheField>
    <cacheField name="Территория" numFmtId="0">
      <sharedItems count="18">
        <s v="Самара"/>
        <s v="Кемерово"/>
        <s v="Екатеринбург"/>
        <s v="Тольятти"/>
        <s v="Нижний Новгород"/>
        <s v="Санкт-Петербург Юг"/>
        <s v="Санкт-Петербург Север"/>
        <s v="Волгоград"/>
        <s v="Казань"/>
        <s v="Пермь"/>
        <s v="Ростов-на-Дону"/>
        <s v="Краснодар"/>
        <s v="Москва Запад"/>
        <s v="Москва Восток"/>
        <s v="Новосибирск"/>
        <s v="Тюмень"/>
        <s v="Томск"/>
        <s v="Уфа"/>
      </sharedItems>
    </cacheField>
    <cacheField name="Товарооборот, шт" numFmtId="3">
      <sharedItems containsSemiMixedTypes="0" containsString="0" containsNumber="1" minValue="4285.5" maxValue="524481"/>
    </cacheField>
    <cacheField name="Товарооборот, руб" numFmtId="4">
      <sharedItems containsSemiMixedTypes="0" containsString="0" containsNumber="1" minValue="389013" maxValue="54172029"/>
    </cacheField>
    <cacheField name="Товарооборот в себестоимости" numFmtId="4">
      <sharedItems containsSemiMixedTypes="0" containsString="0" containsNumber="1" minValue="333054.54800000001" maxValue="41382275.210999995"/>
    </cacheField>
    <cacheField name="Потери, руб" numFmtId="4">
      <sharedItems containsSemiMixedTypes="0" containsString="0" containsNumber="1" minValue="8642.376923076923" maxValue="1101833.4472307691"/>
    </cacheField>
    <cacheField name="Количество складов" numFmtId="3">
      <sharedItems containsSemiMixedTypes="0" containsString="0" containsNumber="1" containsInteger="1" minValue="6" maxValue="129"/>
    </cacheField>
    <cacheField name="Количество заказов" numFmtId="3">
      <sharedItems containsSemiMixedTypes="0" containsString="0" containsNumber="1" containsInteger="1" minValue="237" maxValue="25828"/>
    </cacheField>
    <cacheField name="Количество клиентов" numFmtId="3">
      <sharedItems containsSemiMixedTypes="0" containsString="0" containsNumber="1" containsInteger="1" minValue="175" maxValue="23974"/>
    </cacheField>
    <cacheField name="Поле1" numFmtId="0" formula="'Товарооборот, руб'/ SUM('Товарооборот, руб')" databaseField="0"/>
    <cacheField name="Наценка" numFmtId="0" formula=" ('Товарооборот, руб'-'Товарооборот в себестоимости')/'Товарооборот в себестоимости'" databaseField="0"/>
    <cacheField name="Доходность" numFmtId="0" formula=" ('Товарооборот, руб'-'Товарооборот в себестоимости')/'Товарооборот, руб'"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4">
  <r>
    <d v="2020-05-31T00:00:00"/>
    <x v="0"/>
    <x v="0"/>
    <n v="7944"/>
    <n v="623971.5"/>
    <n v="565363.01599999995"/>
    <n v="64235.456923076919"/>
    <n v="15"/>
    <n v="441"/>
    <n v="368"/>
  </r>
  <r>
    <d v="2020-05-30T00:00:00"/>
    <x v="0"/>
    <x v="0"/>
    <n v="10029"/>
    <n v="787101"/>
    <n v="707654.63099999994"/>
    <n v="112379.26539999999"/>
    <n v="15"/>
    <n v="490"/>
    <n v="409"/>
  </r>
  <r>
    <d v="2020-05-28T00:00:00"/>
    <x v="0"/>
    <x v="0"/>
    <n v="8536.5"/>
    <n v="643944"/>
    <n v="640961.69299999997"/>
    <n v="61475.592307692306"/>
    <n v="15"/>
    <n v="464"/>
    <n v="390"/>
  </r>
  <r>
    <d v="2020-05-16T00:00:00"/>
    <x v="1"/>
    <x v="1"/>
    <n v="38947.5"/>
    <n v="3395892"/>
    <n v="2740255.2110000001"/>
    <n v="294361.0811230769"/>
    <n v="21"/>
    <n v="2145"/>
    <n v="1947"/>
  </r>
  <r>
    <d v="2020-05-19T00:00:00"/>
    <x v="2"/>
    <x v="1"/>
    <n v="31842"/>
    <n v="2771116.5"/>
    <n v="2269371.4459999995"/>
    <n v="328803.84615384613"/>
    <n v="21"/>
    <n v="1860"/>
    <n v="1704"/>
  </r>
  <r>
    <d v="2020-05-17T00:00:00"/>
    <x v="1"/>
    <x v="1"/>
    <n v="32023.5"/>
    <n v="2882458.5"/>
    <n v="2290967.0389999999"/>
    <n v="246817.75113846152"/>
    <n v="21"/>
    <n v="1874"/>
    <n v="1705"/>
  </r>
  <r>
    <d v="2020-05-09T00:00:00"/>
    <x v="3"/>
    <x v="1"/>
    <n v="31147.5"/>
    <n v="2831019"/>
    <n v="2261296.2760000001"/>
    <n v="225845"/>
    <n v="21"/>
    <n v="1735"/>
    <n v="1568"/>
  </r>
  <r>
    <d v="2020-05-04T00:00:00"/>
    <x v="3"/>
    <x v="1"/>
    <n v="25566"/>
    <n v="2372310"/>
    <n v="1875929.923"/>
    <n v="280340.16570000001"/>
    <n v="20"/>
    <n v="1519"/>
    <n v="1372"/>
  </r>
  <r>
    <d v="2020-04-29T00:00:00"/>
    <x v="4"/>
    <x v="1"/>
    <n v="29319"/>
    <n v="2623480.5"/>
    <n v="2115481.9889999996"/>
    <n v="139204.6"/>
    <n v="18"/>
    <n v="1684"/>
    <n v="1528"/>
  </r>
  <r>
    <d v="2020-05-02T00:00:00"/>
    <x v="4"/>
    <x v="1"/>
    <n v="29031"/>
    <n v="2711247"/>
    <n v="2165434.9249999998"/>
    <n v="185484.16923076924"/>
    <n v="18"/>
    <n v="1708"/>
    <n v="1534"/>
  </r>
  <r>
    <d v="2020-05-26T00:00:00"/>
    <x v="0"/>
    <x v="1"/>
    <n v="33423"/>
    <n v="2970330"/>
    <n v="2395998.3769999999"/>
    <n v="259067.63954615386"/>
    <n v="20"/>
    <n v="2044"/>
    <n v="1863"/>
  </r>
  <r>
    <d v="2020-05-01T00:00:00"/>
    <x v="4"/>
    <x v="1"/>
    <n v="32487"/>
    <n v="3031254"/>
    <n v="2397503.37"/>
    <n v="232079.84750769229"/>
    <n v="18"/>
    <n v="1826"/>
    <n v="1633"/>
  </r>
  <r>
    <d v="2020-05-12T00:00:00"/>
    <x v="1"/>
    <x v="1"/>
    <n v="28219.5"/>
    <n v="2595778.5"/>
    <n v="2050101.9780000001"/>
    <n v="309760.33573076921"/>
    <n v="21"/>
    <n v="1656"/>
    <n v="1516"/>
  </r>
  <r>
    <d v="2020-05-21T00:00:00"/>
    <x v="2"/>
    <x v="1"/>
    <n v="31272"/>
    <n v="2744382"/>
    <n v="2257728.2139999997"/>
    <n v="301623.79230769229"/>
    <n v="21"/>
    <n v="1787"/>
    <n v="1626"/>
  </r>
  <r>
    <d v="2020-05-20T00:00:00"/>
    <x v="2"/>
    <x v="1"/>
    <n v="34077"/>
    <n v="2929330.5"/>
    <n v="2389543.5279999999"/>
    <n v="459604.90796153841"/>
    <n v="21"/>
    <n v="1921"/>
    <n v="1767"/>
  </r>
  <r>
    <d v="2020-05-05T00:00:00"/>
    <x v="3"/>
    <x v="1"/>
    <n v="31566"/>
    <n v="2906763"/>
    <n v="2323003.267"/>
    <n v="287619.52953846153"/>
    <n v="20"/>
    <n v="1773"/>
    <n v="1604"/>
  </r>
  <r>
    <d v="2020-04-28T00:00:00"/>
    <x v="4"/>
    <x v="1"/>
    <n v="26940"/>
    <n v="2411587.5"/>
    <n v="1931011.4870000002"/>
    <n v="149032.79178461537"/>
    <n v="18"/>
    <n v="1539"/>
    <n v="1404"/>
  </r>
  <r>
    <d v="2020-05-13T00:00:00"/>
    <x v="1"/>
    <x v="1"/>
    <n v="29241"/>
    <n v="2629782"/>
    <n v="2071714.7239999999"/>
    <n v="361201.8010384615"/>
    <n v="21"/>
    <n v="1698"/>
    <n v="1554"/>
  </r>
  <r>
    <d v="2020-05-03T00:00:00"/>
    <x v="4"/>
    <x v="1"/>
    <n v="26082"/>
    <n v="2434914"/>
    <n v="1925475.1139999998"/>
    <n v="247646.60936153846"/>
    <n v="20"/>
    <n v="1520"/>
    <n v="1373"/>
  </r>
  <r>
    <d v="2020-05-06T00:00:00"/>
    <x v="3"/>
    <x v="1"/>
    <n v="32511"/>
    <n v="2938623"/>
    <n v="2406562.0579999997"/>
    <n v="306098.4769230769"/>
    <n v="20"/>
    <n v="1784"/>
    <n v="1632"/>
  </r>
  <r>
    <d v="2020-05-23T00:00:00"/>
    <x v="2"/>
    <x v="1"/>
    <n v="42703.5"/>
    <n v="3628726.5"/>
    <n v="3056063.7349999999"/>
    <n v="223670.01693846151"/>
    <n v="21"/>
    <n v="2340"/>
    <n v="2146"/>
  </r>
  <r>
    <d v="2020-05-25T00:00:00"/>
    <x v="0"/>
    <x v="1"/>
    <n v="35592"/>
    <n v="3176580"/>
    <n v="2540760.0409999997"/>
    <n v="351098.05384615384"/>
    <n v="20"/>
    <n v="2087"/>
    <n v="1914"/>
  </r>
  <r>
    <d v="2020-04-30T00:00:00"/>
    <x v="4"/>
    <x v="1"/>
    <n v="30445.5"/>
    <n v="2817196.5"/>
    <n v="2244503.1999999997"/>
    <n v="203231.46096923074"/>
    <n v="19"/>
    <n v="1712"/>
    <n v="1552"/>
  </r>
  <r>
    <d v="2020-05-10T00:00:00"/>
    <x v="3"/>
    <x v="1"/>
    <n v="36619.5"/>
    <n v="3312967.5"/>
    <n v="2647972.3429999999"/>
    <n v="371661.65384615387"/>
    <n v="21"/>
    <n v="2016"/>
    <n v="1846"/>
  </r>
  <r>
    <d v="2020-05-08T00:00:00"/>
    <x v="3"/>
    <x v="1"/>
    <n v="29409"/>
    <n v="2645160"/>
    <n v="2133443.3049999997"/>
    <n v="355537.44449230767"/>
    <n v="21"/>
    <n v="1646"/>
    <n v="1492"/>
  </r>
  <r>
    <d v="2020-05-07T00:00:00"/>
    <x v="3"/>
    <x v="1"/>
    <n v="27018"/>
    <n v="2472213"/>
    <n v="2000889.9870000002"/>
    <n v="283287.86923076923"/>
    <n v="21"/>
    <n v="1542"/>
    <n v="1405"/>
  </r>
  <r>
    <d v="2020-05-24T00:00:00"/>
    <x v="2"/>
    <x v="1"/>
    <n v="34303.5"/>
    <n v="2924746.5"/>
    <n v="2399312.9350000001"/>
    <n v="282325.24615384615"/>
    <n v="20"/>
    <n v="1999"/>
    <n v="1829"/>
  </r>
  <r>
    <d v="2020-05-31T00:00:00"/>
    <x v="0"/>
    <x v="1"/>
    <n v="36999"/>
    <n v="3473895"/>
    <n v="2757933.63"/>
    <n v="112971.77692307692"/>
    <n v="21"/>
    <n v="2271"/>
    <n v="2085"/>
  </r>
  <r>
    <d v="2020-05-30T00:00:00"/>
    <x v="0"/>
    <x v="1"/>
    <n v="44001"/>
    <n v="3921784.5"/>
    <n v="3132604.841"/>
    <n v="242715.26253846151"/>
    <n v="20"/>
    <n v="2597"/>
    <n v="2376"/>
  </r>
  <r>
    <d v="2020-05-28T00:00:00"/>
    <x v="0"/>
    <x v="1"/>
    <n v="30982.5"/>
    <n v="2827773"/>
    <n v="2232253.034"/>
    <n v="343211.54262307688"/>
    <n v="20"/>
    <n v="1886"/>
    <n v="1736"/>
  </r>
  <r>
    <d v="2020-05-16T00:00:00"/>
    <x v="1"/>
    <x v="2"/>
    <n v="88063.5"/>
    <n v="7583758.5"/>
    <n v="5779076.7979999995"/>
    <n v="152384.93586153846"/>
    <n v="31"/>
    <n v="5593"/>
    <n v="5177"/>
  </r>
  <r>
    <d v="2020-05-19T00:00:00"/>
    <x v="2"/>
    <x v="2"/>
    <n v="84024"/>
    <n v="6815511"/>
    <n v="5426339.5819999995"/>
    <n v="195070.25003076921"/>
    <n v="31"/>
    <n v="5389"/>
    <n v="5024"/>
  </r>
  <r>
    <d v="2020-05-17T00:00:00"/>
    <x v="1"/>
    <x v="2"/>
    <n v="78057"/>
    <n v="6774946.5"/>
    <n v="5115462.4009999996"/>
    <n v="61149.515384615377"/>
    <n v="31"/>
    <n v="5206"/>
    <n v="4843"/>
  </r>
  <r>
    <d v="2020-05-09T00:00:00"/>
    <x v="3"/>
    <x v="2"/>
    <n v="69720"/>
    <n v="6264933"/>
    <n v="4726931.9569999995"/>
    <n v="294634.35530769231"/>
    <n v="31"/>
    <n v="4556"/>
    <n v="4220"/>
  </r>
  <r>
    <d v="2020-05-04T00:00:00"/>
    <x v="3"/>
    <x v="2"/>
    <n v="72928.5"/>
    <n v="6642249"/>
    <n v="4993791.9560000002"/>
    <n v="215294.37692307692"/>
    <n v="31"/>
    <n v="4968"/>
    <n v="4596"/>
  </r>
  <r>
    <d v="2020-04-29T00:00:00"/>
    <x v="4"/>
    <x v="2"/>
    <n v="79527"/>
    <n v="7180498.5"/>
    <n v="5432087.9790000003"/>
    <n v="172769.19230769231"/>
    <n v="31"/>
    <n v="5378"/>
    <n v="4985"/>
  </r>
  <r>
    <d v="2020-05-02T00:00:00"/>
    <x v="4"/>
    <x v="2"/>
    <n v="60463.5"/>
    <n v="5554192.5"/>
    <n v="4218316.0290000001"/>
    <n v="244262.12107692307"/>
    <n v="31"/>
    <n v="4157"/>
    <n v="3823"/>
  </r>
  <r>
    <d v="2020-05-26T00:00:00"/>
    <x v="0"/>
    <x v="2"/>
    <n v="79975.5"/>
    <n v="6676459.5"/>
    <n v="5083946.1689999998"/>
    <n v="141931.13193076922"/>
    <n v="31"/>
    <n v="5493"/>
    <n v="5119"/>
  </r>
  <r>
    <d v="2020-05-01T00:00:00"/>
    <x v="4"/>
    <x v="2"/>
    <n v="97534.5"/>
    <n v="8893024.5"/>
    <n v="6855177.2400000002"/>
    <n v="185180.38007692309"/>
    <n v="31"/>
    <n v="6118"/>
    <n v="5564"/>
  </r>
  <r>
    <d v="2020-05-12T00:00:00"/>
    <x v="1"/>
    <x v="2"/>
    <n v="71520"/>
    <n v="6398361"/>
    <n v="4793096.1439999994"/>
    <n v="181432.06769230767"/>
    <n v="31"/>
    <n v="4800"/>
    <n v="4470"/>
  </r>
  <r>
    <d v="2020-05-21T00:00:00"/>
    <x v="2"/>
    <x v="2"/>
    <n v="79485"/>
    <n v="6633847.5"/>
    <n v="5212858.58"/>
    <n v="120955.33846153846"/>
    <n v="31"/>
    <n v="5207"/>
    <n v="4868"/>
  </r>
  <r>
    <d v="2020-05-20T00:00:00"/>
    <x v="2"/>
    <x v="2"/>
    <n v="93313.5"/>
    <n v="7247575.5"/>
    <n v="5922822.6779999994"/>
    <n v="714758.2"/>
    <n v="31"/>
    <n v="5698"/>
    <n v="5258"/>
  </r>
  <r>
    <d v="2020-05-05T00:00:00"/>
    <x v="3"/>
    <x v="2"/>
    <n v="76585.5"/>
    <n v="6921316.5"/>
    <n v="5290094.2719999999"/>
    <n v="386033.17544615385"/>
    <n v="31"/>
    <n v="5188"/>
    <n v="4800"/>
  </r>
  <r>
    <d v="2020-04-28T00:00:00"/>
    <x v="4"/>
    <x v="2"/>
    <n v="81826.5"/>
    <n v="7163644.5"/>
    <n v="5366333.7130000005"/>
    <n v="145122.77781538462"/>
    <n v="31"/>
    <n v="5465"/>
    <n v="5096"/>
  </r>
  <r>
    <d v="2020-05-13T00:00:00"/>
    <x v="1"/>
    <x v="2"/>
    <n v="78846"/>
    <n v="6993952.5"/>
    <n v="5288518.7799999993"/>
    <n v="227969.01538461537"/>
    <n v="31"/>
    <n v="5251"/>
    <n v="4853"/>
  </r>
  <r>
    <d v="2020-05-03T00:00:00"/>
    <x v="4"/>
    <x v="2"/>
    <n v="77263.5"/>
    <n v="7013670"/>
    <n v="5282661.8549999995"/>
    <n v="161473.07692307691"/>
    <n v="31"/>
    <n v="5155"/>
    <n v="4762"/>
  </r>
  <r>
    <d v="2020-05-06T00:00:00"/>
    <x v="3"/>
    <x v="2"/>
    <n v="68994"/>
    <n v="6168657"/>
    <n v="4695811.3490000004"/>
    <n v="157384.1788307692"/>
    <n v="31"/>
    <n v="4709"/>
    <n v="4348"/>
  </r>
  <r>
    <d v="2020-05-23T00:00:00"/>
    <x v="2"/>
    <x v="2"/>
    <n v="102889.5"/>
    <n v="8089143"/>
    <n v="6673236.3720000004"/>
    <n v="127223.84583076923"/>
    <n v="31"/>
    <n v="6276"/>
    <n v="5801"/>
  </r>
  <r>
    <d v="2020-05-25T00:00:00"/>
    <x v="0"/>
    <x v="2"/>
    <n v="76999.5"/>
    <n v="6645603"/>
    <n v="5032216.1889999993"/>
    <n v="100883.95384615385"/>
    <n v="31"/>
    <n v="5210"/>
    <n v="4841"/>
  </r>
  <r>
    <d v="2020-04-30T00:00:00"/>
    <x v="4"/>
    <x v="2"/>
    <n v="77565"/>
    <n v="7023727.5"/>
    <n v="5349682.4849999994"/>
    <n v="31578.207692307689"/>
    <n v="31"/>
    <n v="5120"/>
    <n v="4737"/>
  </r>
  <r>
    <d v="2020-05-10T00:00:00"/>
    <x v="3"/>
    <x v="2"/>
    <n v="84132"/>
    <n v="7483194"/>
    <n v="5637882.125"/>
    <n v="126673.26923076922"/>
    <n v="31"/>
    <n v="5495"/>
    <n v="5093"/>
  </r>
  <r>
    <d v="2020-05-08T00:00:00"/>
    <x v="3"/>
    <x v="2"/>
    <n v="69544.5"/>
    <n v="6293776.5"/>
    <n v="4773839.9380000001"/>
    <n v="201777.4038153846"/>
    <n v="31"/>
    <n v="4635"/>
    <n v="4266"/>
  </r>
  <r>
    <d v="2020-05-07T00:00:00"/>
    <x v="3"/>
    <x v="2"/>
    <n v="73204.5"/>
    <n v="6591883.5"/>
    <n v="5001227.6710000001"/>
    <n v="184167.76355384616"/>
    <n v="31"/>
    <n v="4903"/>
    <n v="4527"/>
  </r>
  <r>
    <d v="2020-05-24T00:00:00"/>
    <x v="2"/>
    <x v="2"/>
    <n v="76663.5"/>
    <n v="6451032"/>
    <n v="5048965.7960000001"/>
    <n v="94608.146153846144"/>
    <n v="31"/>
    <n v="5035"/>
    <n v="4683"/>
  </r>
  <r>
    <d v="2020-05-16T00:00:00"/>
    <x v="1"/>
    <x v="3"/>
    <n v="14265"/>
    <n v="1130506.5"/>
    <n v="1024403.9859999999"/>
    <n v="72626.813907692311"/>
    <n v="10"/>
    <n v="760"/>
    <n v="672"/>
  </r>
  <r>
    <d v="2020-05-19T00:00:00"/>
    <x v="2"/>
    <x v="3"/>
    <n v="11526"/>
    <n v="938764.5"/>
    <n v="820018.375"/>
    <n v="77816.215384615381"/>
    <n v="10"/>
    <n v="649"/>
    <n v="568"/>
  </r>
  <r>
    <d v="2020-05-17T00:00:00"/>
    <x v="1"/>
    <x v="3"/>
    <n v="10402.5"/>
    <n v="843727.5"/>
    <n v="729677.51899999997"/>
    <n v="140731.96461538461"/>
    <n v="10"/>
    <n v="591"/>
    <n v="513"/>
  </r>
  <r>
    <d v="2020-05-09T00:00:00"/>
    <x v="3"/>
    <x v="3"/>
    <n v="13216.5"/>
    <n v="1046400"/>
    <n v="937716.15799999994"/>
    <n v="61387.776923076919"/>
    <n v="10"/>
    <n v="644"/>
    <n v="559"/>
  </r>
  <r>
    <d v="2020-05-04T00:00:00"/>
    <x v="3"/>
    <x v="3"/>
    <n v="9130.5"/>
    <n v="728890.5"/>
    <n v="644150.51899999997"/>
    <n v="98026.490369230756"/>
    <n v="10"/>
    <n v="462"/>
    <n v="396"/>
  </r>
  <r>
    <d v="2020-04-29T00:00:00"/>
    <x v="4"/>
    <x v="3"/>
    <n v="10840.5"/>
    <n v="797919"/>
    <n v="783753.29499999993"/>
    <n v="58214.93076923077"/>
    <n v="10"/>
    <n v="502"/>
    <n v="433"/>
  </r>
  <r>
    <d v="2020-05-02T00:00:00"/>
    <x v="4"/>
    <x v="3"/>
    <n v="7866"/>
    <n v="617881.5"/>
    <n v="575518.06799999997"/>
    <n v="119723.42363076922"/>
    <n v="10"/>
    <n v="416"/>
    <n v="341"/>
  </r>
  <r>
    <d v="2020-05-26T00:00:00"/>
    <x v="0"/>
    <x v="3"/>
    <n v="11835"/>
    <n v="983109"/>
    <n v="825345.05300000007"/>
    <n v="109486.33076923077"/>
    <n v="10"/>
    <n v="692"/>
    <n v="601"/>
  </r>
  <r>
    <d v="2020-05-01T00:00:00"/>
    <x v="4"/>
    <x v="3"/>
    <n v="11619"/>
    <n v="891139.5"/>
    <n v="829782.37600000005"/>
    <n v="121759.66210769229"/>
    <n v="10"/>
    <n v="554"/>
    <n v="472"/>
  </r>
  <r>
    <d v="2020-05-12T00:00:00"/>
    <x v="1"/>
    <x v="3"/>
    <n v="9328.5"/>
    <n v="732964.5"/>
    <n v="634517.67299999995"/>
    <n v="136157.98361538461"/>
    <n v="10"/>
    <n v="526"/>
    <n v="448"/>
  </r>
  <r>
    <d v="2020-05-21T00:00:00"/>
    <x v="2"/>
    <x v="3"/>
    <n v="11250"/>
    <n v="935523"/>
    <n v="808524.505"/>
    <n v="94344.953846153847"/>
    <n v="10"/>
    <n v="677"/>
    <n v="591"/>
  </r>
  <r>
    <d v="2020-05-20T00:00:00"/>
    <x v="2"/>
    <x v="3"/>
    <n v="13063.5"/>
    <n v="1037247"/>
    <n v="910480.6449999999"/>
    <n v="64430.964123076919"/>
    <n v="10"/>
    <n v="745"/>
    <n v="654"/>
  </r>
  <r>
    <d v="2020-05-05T00:00:00"/>
    <x v="3"/>
    <x v="3"/>
    <n v="10147.5"/>
    <n v="793320"/>
    <n v="718019.27600000007"/>
    <n v="92027.36809230769"/>
    <n v="10"/>
    <n v="511"/>
    <n v="437"/>
  </r>
  <r>
    <d v="2020-04-28T00:00:00"/>
    <x v="4"/>
    <x v="3"/>
    <n v="12331.5"/>
    <n v="869983.5"/>
    <n v="896773.32399999991"/>
    <n v="51681.038461538461"/>
    <n v="10"/>
    <n v="580"/>
    <n v="506"/>
  </r>
  <r>
    <d v="2020-05-13T00:00:00"/>
    <x v="1"/>
    <x v="3"/>
    <n v="11202"/>
    <n v="865714.5"/>
    <n v="799644.75899999996"/>
    <n v="111860.49372307691"/>
    <n v="10"/>
    <n v="612"/>
    <n v="530"/>
  </r>
  <r>
    <d v="2020-05-31T00:00:00"/>
    <x v="0"/>
    <x v="2"/>
    <n v="89149.5"/>
    <n v="7512646.5"/>
    <n v="5979210.0970000001"/>
    <n v="47580.146153846152"/>
    <n v="31"/>
    <n v="5760"/>
    <n v="5367"/>
  </r>
  <r>
    <d v="2020-05-03T00:00:00"/>
    <x v="4"/>
    <x v="3"/>
    <n v="8185.5"/>
    <n v="637881"/>
    <n v="575840.67700000003"/>
    <n v="73920.584615384607"/>
    <n v="10"/>
    <n v="402"/>
    <n v="333"/>
  </r>
  <r>
    <d v="2020-05-30T00:00:00"/>
    <x v="0"/>
    <x v="2"/>
    <n v="108123"/>
    <n v="9164707.5"/>
    <n v="7329868.665"/>
    <n v="137418.15930769229"/>
    <n v="31"/>
    <n v="6735"/>
    <n v="6264"/>
  </r>
  <r>
    <d v="2020-05-06T00:00:00"/>
    <x v="3"/>
    <x v="3"/>
    <n v="9210"/>
    <n v="696832.5"/>
    <n v="616683.38099999994"/>
    <n v="99623.130769230775"/>
    <n v="10"/>
    <n v="465"/>
    <n v="390"/>
  </r>
  <r>
    <d v="2020-05-23T00:00:00"/>
    <x v="2"/>
    <x v="3"/>
    <n v="14773.5"/>
    <n v="1241383.5"/>
    <n v="1069622.507"/>
    <n v="74049.523076923084"/>
    <n v="10"/>
    <n v="828"/>
    <n v="734"/>
  </r>
  <r>
    <d v="2020-05-28T00:00:00"/>
    <x v="0"/>
    <x v="2"/>
    <n v="78141"/>
    <n v="6641569.5"/>
    <n v="5084073.5159999998"/>
    <n v="142499.01538461537"/>
    <n v="31"/>
    <n v="5355"/>
    <n v="4969"/>
  </r>
  <r>
    <d v="2020-05-25T00:00:00"/>
    <x v="0"/>
    <x v="3"/>
    <n v="12280.5"/>
    <n v="1030440"/>
    <n v="871047.598"/>
    <n v="85172.084615384621"/>
    <n v="10"/>
    <n v="739"/>
    <n v="642"/>
  </r>
  <r>
    <d v="2020-04-30T00:00:00"/>
    <x v="4"/>
    <x v="3"/>
    <n v="8934"/>
    <n v="716196"/>
    <n v="663415.49699999997"/>
    <n v="24274.438461538462"/>
    <n v="10"/>
    <n v="448"/>
    <n v="376"/>
  </r>
  <r>
    <d v="2020-05-10T00:00:00"/>
    <x v="3"/>
    <x v="3"/>
    <n v="12918"/>
    <n v="1004788.5"/>
    <n v="896111.80299999996"/>
    <n v="99729.923076923063"/>
    <n v="10"/>
    <n v="642"/>
    <n v="556"/>
  </r>
  <r>
    <d v="2020-05-08T00:00:00"/>
    <x v="3"/>
    <x v="3"/>
    <n v="12528"/>
    <n v="959703"/>
    <n v="861486.47499999998"/>
    <n v="87212.130769230775"/>
    <n v="10"/>
    <n v="638"/>
    <n v="547"/>
  </r>
  <r>
    <d v="2020-05-07T00:00:00"/>
    <x v="3"/>
    <x v="3"/>
    <n v="11029.5"/>
    <n v="863754"/>
    <n v="758428.73499999999"/>
    <n v="86710.804507692301"/>
    <n v="10"/>
    <n v="563"/>
    <n v="486"/>
  </r>
  <r>
    <d v="2020-05-24T00:00:00"/>
    <x v="2"/>
    <x v="3"/>
    <n v="9994.5"/>
    <n v="828984"/>
    <n v="702631.81099999999"/>
    <n v="82264.567169230766"/>
    <n v="10"/>
    <n v="639"/>
    <n v="557"/>
  </r>
  <r>
    <d v="2020-05-31T00:00:00"/>
    <x v="0"/>
    <x v="3"/>
    <n v="12724.5"/>
    <n v="1045515"/>
    <n v="896490.07"/>
    <n v="49463.982984615388"/>
    <n v="10"/>
    <n v="749"/>
    <n v="655"/>
  </r>
  <r>
    <d v="2020-05-30T00:00:00"/>
    <x v="0"/>
    <x v="3"/>
    <n v="14728.5"/>
    <n v="1260483"/>
    <n v="1048221.1390000001"/>
    <n v="86278.176699999996"/>
    <n v="10"/>
    <n v="865"/>
    <n v="763"/>
  </r>
  <r>
    <d v="2020-05-28T00:00:00"/>
    <x v="0"/>
    <x v="3"/>
    <n v="13038"/>
    <n v="1114552.5"/>
    <n v="939269.56700000004"/>
    <n v="74269.06047692307"/>
    <n v="10"/>
    <n v="791"/>
    <n v="697"/>
  </r>
  <r>
    <d v="2020-05-16T00:00:00"/>
    <x v="1"/>
    <x v="4"/>
    <n v="35482.5"/>
    <n v="3222517.5"/>
    <n v="2633868.1740000001"/>
    <n v="150484.18215384614"/>
    <n v="19"/>
    <n v="2080"/>
    <n v="1844"/>
  </r>
  <r>
    <d v="2020-05-19T00:00:00"/>
    <x v="2"/>
    <x v="4"/>
    <n v="32434.5"/>
    <n v="2865337.5"/>
    <n v="2368028.6850000001"/>
    <n v="225452.89078461539"/>
    <n v="19"/>
    <n v="1999"/>
    <n v="1799"/>
  </r>
  <r>
    <d v="2020-05-17T00:00:00"/>
    <x v="1"/>
    <x v="4"/>
    <n v="30486"/>
    <n v="2694289.5"/>
    <n v="2183502.7290000003"/>
    <n v="153558.02257692307"/>
    <n v="19"/>
    <n v="1871"/>
    <n v="1660"/>
  </r>
  <r>
    <d v="2020-05-09T00:00:00"/>
    <x v="3"/>
    <x v="4"/>
    <n v="32079"/>
    <n v="2902167"/>
    <n v="2319890.3459999999"/>
    <n v="194963.39216923076"/>
    <n v="19"/>
    <n v="1851"/>
    <n v="1635"/>
  </r>
  <r>
    <d v="2020-05-04T00:00:00"/>
    <x v="3"/>
    <x v="4"/>
    <n v="27072"/>
    <n v="2450968.5"/>
    <n v="1980824.9889999998"/>
    <n v="188174.3243923077"/>
    <n v="19"/>
    <n v="1582"/>
    <n v="1403"/>
  </r>
  <r>
    <d v="2020-04-29T00:00:00"/>
    <x v="4"/>
    <x v="4"/>
    <n v="25917"/>
    <n v="2397588"/>
    <n v="1937222.0459999999"/>
    <n v="159472.57584615384"/>
    <n v="18"/>
    <n v="1534"/>
    <n v="1369"/>
  </r>
  <r>
    <d v="2020-05-02T00:00:00"/>
    <x v="4"/>
    <x v="4"/>
    <n v="19461"/>
    <n v="1799230.5"/>
    <n v="1457108.1479999998"/>
    <n v="183829.81409230767"/>
    <n v="19"/>
    <n v="1217"/>
    <n v="1048"/>
  </r>
  <r>
    <d v="2020-05-26T00:00:00"/>
    <x v="0"/>
    <x v="4"/>
    <n v="31407"/>
    <n v="2907411"/>
    <n v="2288433.4950000001"/>
    <n v="193538.8704076923"/>
    <n v="20"/>
    <n v="2036"/>
    <n v="1790"/>
  </r>
  <r>
    <d v="2020-05-01T00:00:00"/>
    <x v="4"/>
    <x v="4"/>
    <n v="25792.5"/>
    <n v="2374356"/>
    <n v="1915101.034"/>
    <n v="277477.31932307692"/>
    <n v="19"/>
    <n v="1497"/>
    <n v="1291"/>
  </r>
  <r>
    <d v="2020-05-12T00:00:00"/>
    <x v="1"/>
    <x v="4"/>
    <n v="26032.5"/>
    <n v="2370432"/>
    <n v="1847737.8370000001"/>
    <n v="141864.00329999998"/>
    <n v="19"/>
    <n v="1649"/>
    <n v="1460"/>
  </r>
  <r>
    <d v="2020-05-21T00:00:00"/>
    <x v="2"/>
    <x v="4"/>
    <n v="31707"/>
    <n v="2853181.5"/>
    <n v="2349459.5"/>
    <n v="187617.05315384615"/>
    <n v="19"/>
    <n v="1949"/>
    <n v="1724"/>
  </r>
  <r>
    <d v="2020-05-20T00:00:00"/>
    <x v="2"/>
    <x v="4"/>
    <n v="29955"/>
    <n v="2692230"/>
    <n v="2195766.1209999998"/>
    <n v="202002.14775384613"/>
    <n v="19"/>
    <n v="1889"/>
    <n v="1690"/>
  </r>
  <r>
    <d v="2020-05-05T00:00:00"/>
    <x v="3"/>
    <x v="4"/>
    <n v="22848"/>
    <n v="2079900"/>
    <n v="1657688.8529999999"/>
    <n v="178454.88537692308"/>
    <n v="19"/>
    <n v="1417"/>
    <n v="1245"/>
  </r>
  <r>
    <d v="2020-04-28T00:00:00"/>
    <x v="4"/>
    <x v="4"/>
    <n v="23314.5"/>
    <n v="2136817.5"/>
    <n v="1701780.4779999999"/>
    <n v="141999.40078461537"/>
    <n v="17"/>
    <n v="1439"/>
    <n v="1265"/>
  </r>
  <r>
    <d v="2020-05-13T00:00:00"/>
    <x v="1"/>
    <x v="4"/>
    <n v="26464.5"/>
    <n v="2373337.5"/>
    <n v="1886244.7409999999"/>
    <n v="207105.15935384613"/>
    <n v="19"/>
    <n v="1625"/>
    <n v="1444"/>
  </r>
  <r>
    <d v="2020-05-03T00:00:00"/>
    <x v="4"/>
    <x v="4"/>
    <n v="23539.5"/>
    <n v="2170309.5"/>
    <n v="1735984.6140000001"/>
    <n v="170377.85753846151"/>
    <n v="19"/>
    <n v="1402"/>
    <n v="1234"/>
  </r>
  <r>
    <d v="2020-05-06T00:00:00"/>
    <x v="3"/>
    <x v="4"/>
    <n v="24678"/>
    <n v="2232519"/>
    <n v="1781999.058"/>
    <n v="359577.90600769228"/>
    <n v="19"/>
    <n v="1499"/>
    <n v="1323"/>
  </r>
  <r>
    <d v="2020-05-23T00:00:00"/>
    <x v="2"/>
    <x v="4"/>
    <n v="38176.5"/>
    <n v="3385372.5"/>
    <n v="2831498.2739999997"/>
    <n v="146460.30097692306"/>
    <n v="20"/>
    <n v="2266"/>
    <n v="1993"/>
  </r>
  <r>
    <d v="2020-05-25T00:00:00"/>
    <x v="0"/>
    <x v="4"/>
    <n v="30603"/>
    <n v="2865727.5"/>
    <n v="2288224.429"/>
    <n v="167381.28187692308"/>
    <n v="20"/>
    <n v="2011"/>
    <n v="1791"/>
  </r>
  <r>
    <d v="2020-04-30T00:00:00"/>
    <x v="4"/>
    <x v="4"/>
    <n v="24211.5"/>
    <n v="2267664"/>
    <n v="1801564.392"/>
    <n v="97090.63692307692"/>
    <n v="19"/>
    <n v="1499"/>
    <n v="1322"/>
  </r>
  <r>
    <d v="2020-05-10T00:00:00"/>
    <x v="3"/>
    <x v="4"/>
    <n v="31399.5"/>
    <n v="2862298.5"/>
    <n v="2267667.5189999999"/>
    <n v="169650.86923076923"/>
    <n v="19"/>
    <n v="1848"/>
    <n v="1649"/>
  </r>
  <r>
    <d v="2020-05-08T00:00:00"/>
    <x v="3"/>
    <x v="4"/>
    <n v="25294.5"/>
    <n v="2271454.5"/>
    <n v="1811009.8979999998"/>
    <n v="151659.17713846153"/>
    <n v="19"/>
    <n v="1522"/>
    <n v="1340"/>
  </r>
  <r>
    <d v="2020-05-07T00:00:00"/>
    <x v="3"/>
    <x v="4"/>
    <n v="25468.5"/>
    <n v="2350672.5"/>
    <n v="1875294.65"/>
    <n v="221739.45623076922"/>
    <n v="19"/>
    <n v="1530"/>
    <n v="1338"/>
  </r>
  <r>
    <d v="2020-05-24T00:00:00"/>
    <x v="2"/>
    <x v="4"/>
    <n v="31854"/>
    <n v="2915533.5"/>
    <n v="2431800.3939999999"/>
    <n v="155421.87692307692"/>
    <n v="20"/>
    <n v="2015"/>
    <n v="1803"/>
  </r>
  <r>
    <d v="2020-05-31T00:00:00"/>
    <x v="0"/>
    <x v="4"/>
    <n v="32359.5"/>
    <n v="2991999"/>
    <n v="2374135.6799999997"/>
    <n v="106116.64615384616"/>
    <n v="20"/>
    <n v="2060"/>
    <n v="1826"/>
  </r>
  <r>
    <d v="2020-05-30T00:00:00"/>
    <x v="0"/>
    <x v="4"/>
    <n v="39867"/>
    <n v="3654166.5"/>
    <n v="2919786.2949999999"/>
    <n v="182639.11723076922"/>
    <n v="20"/>
    <n v="2451"/>
    <n v="2178"/>
  </r>
  <r>
    <d v="2020-05-28T00:00:00"/>
    <x v="0"/>
    <x v="4"/>
    <n v="31974"/>
    <n v="3004213.5"/>
    <n v="2389834.3129999996"/>
    <n v="174780.66518461538"/>
    <n v="20"/>
    <n v="2088"/>
    <n v="1848"/>
  </r>
  <r>
    <d v="2020-05-16T00:00:00"/>
    <x v="1"/>
    <x v="5"/>
    <n v="321412.5"/>
    <n v="32235864"/>
    <n v="23691368.555"/>
    <n v="595097.15929230768"/>
    <n v="129"/>
    <n v="17914"/>
    <n v="16631"/>
  </r>
  <r>
    <d v="2020-05-19T00:00:00"/>
    <x v="2"/>
    <x v="5"/>
    <n v="276568.5"/>
    <n v="27093624"/>
    <n v="19768696.5"/>
    <n v="759335.80469230772"/>
    <n v="129"/>
    <n v="16191"/>
    <n v="15102"/>
  </r>
  <r>
    <d v="2020-05-17T00:00:00"/>
    <x v="1"/>
    <x v="5"/>
    <n v="269029.5"/>
    <n v="26659930.5"/>
    <n v="19515982.116"/>
    <n v="551393.4769230769"/>
    <n v="129"/>
    <n v="15744"/>
    <n v="14685"/>
  </r>
  <r>
    <d v="2020-05-09T00:00:00"/>
    <x v="3"/>
    <x v="5"/>
    <n v="285972"/>
    <n v="29768199"/>
    <n v="21483666.921"/>
    <n v="549316.95015384618"/>
    <n v="129"/>
    <n v="16420"/>
    <n v="15169"/>
  </r>
  <r>
    <d v="2020-05-04T00:00:00"/>
    <x v="3"/>
    <x v="5"/>
    <n v="283942.5"/>
    <n v="29357940"/>
    <n v="21174604.830000002"/>
    <n v="988153.40803076921"/>
    <n v="129"/>
    <n v="16525"/>
    <n v="15310"/>
  </r>
  <r>
    <d v="2020-04-29T00:00:00"/>
    <x v="4"/>
    <x v="5"/>
    <n v="298059"/>
    <n v="30869287.5"/>
    <n v="22717731.617999997"/>
    <n v="661329.17833846144"/>
    <n v="128"/>
    <n v="17368"/>
    <n v="16077"/>
  </r>
  <r>
    <d v="2020-05-02T00:00:00"/>
    <x v="4"/>
    <x v="5"/>
    <n v="232903.5"/>
    <n v="24342016.5"/>
    <n v="17790852.443999998"/>
    <n v="634118.86923076923"/>
    <n v="129"/>
    <n v="14009"/>
    <n v="12920"/>
  </r>
  <r>
    <d v="2020-05-26T00:00:00"/>
    <x v="0"/>
    <x v="5"/>
    <n v="276966"/>
    <n v="27872617.898850001"/>
    <n v="20223763.805"/>
    <n v="645572.57826153841"/>
    <n v="129"/>
    <n v="16459"/>
    <n v="15355"/>
  </r>
  <r>
    <d v="2020-05-01T00:00:00"/>
    <x v="4"/>
    <x v="5"/>
    <n v="296149.5"/>
    <n v="31053316.5"/>
    <n v="22737807.546999998"/>
    <n v="896375.16923076916"/>
    <n v="129"/>
    <n v="17002"/>
    <n v="15570"/>
  </r>
  <r>
    <d v="2020-05-12T00:00:00"/>
    <x v="1"/>
    <x v="5"/>
    <n v="281796"/>
    <n v="29042520"/>
    <n v="20980503.504999999"/>
    <n v="776209.03169999993"/>
    <n v="129"/>
    <n v="16387"/>
    <n v="15322"/>
  </r>
  <r>
    <d v="2020-05-21T00:00:00"/>
    <x v="2"/>
    <x v="5"/>
    <n v="288936"/>
    <n v="27852900"/>
    <n v="20824687.999000002"/>
    <n v="822353.43936153851"/>
    <n v="129"/>
    <n v="16373"/>
    <n v="15223"/>
  </r>
  <r>
    <d v="2020-05-20T00:00:00"/>
    <x v="2"/>
    <x v="5"/>
    <n v="300151.5"/>
    <n v="29368771.617449999"/>
    <n v="21545834.136"/>
    <n v="1052145.9026769232"/>
    <n v="129"/>
    <n v="17095"/>
    <n v="15919"/>
  </r>
  <r>
    <d v="2020-05-05T00:00:00"/>
    <x v="3"/>
    <x v="5"/>
    <n v="262734"/>
    <n v="27278441.145"/>
    <n v="19610637.316999998"/>
    <n v="919330.0461538462"/>
    <n v="129"/>
    <n v="15665"/>
    <n v="14501"/>
  </r>
  <r>
    <d v="2020-04-28T00:00:00"/>
    <x v="4"/>
    <x v="5"/>
    <n v="286002"/>
    <n v="29159032.5"/>
    <n v="21437602.310000002"/>
    <n v="637711.59372307686"/>
    <n v="128"/>
    <n v="16450"/>
    <n v="15320"/>
  </r>
  <r>
    <d v="2020-05-13T00:00:00"/>
    <x v="1"/>
    <x v="5"/>
    <n v="258459"/>
    <n v="26467453.5"/>
    <n v="19153152.526999999"/>
    <n v="636197.23340769229"/>
    <n v="129"/>
    <n v="15304"/>
    <n v="14315"/>
  </r>
  <r>
    <d v="2020-05-03T00:00:00"/>
    <x v="4"/>
    <x v="5"/>
    <n v="274083"/>
    <n v="28427001"/>
    <n v="20563887.598999999"/>
    <n v="779849.36538461538"/>
    <n v="129"/>
    <n v="15778"/>
    <n v="14624"/>
  </r>
  <r>
    <d v="2020-05-06T00:00:00"/>
    <x v="3"/>
    <x v="5"/>
    <n v="277512"/>
    <n v="28770810.105599999"/>
    <n v="20810852.736000001"/>
    <n v="790162.57692307688"/>
    <n v="129"/>
    <n v="16376"/>
    <n v="15197"/>
  </r>
  <r>
    <d v="2020-05-23T00:00:00"/>
    <x v="2"/>
    <x v="5"/>
    <n v="356982"/>
    <n v="35103926.711549997"/>
    <n v="26357141.036999997"/>
    <n v="601482.07692307688"/>
    <n v="129"/>
    <n v="19856"/>
    <n v="18325"/>
  </r>
  <r>
    <d v="2020-05-25T00:00:00"/>
    <x v="0"/>
    <x v="5"/>
    <n v="266983.5"/>
    <n v="27165913.5"/>
    <n v="19659432.722999997"/>
    <n v="698314.9846153846"/>
    <n v="129"/>
    <n v="15822"/>
    <n v="14753"/>
  </r>
  <r>
    <d v="2020-04-30T00:00:00"/>
    <x v="4"/>
    <x v="5"/>
    <n v="311131.5"/>
    <n v="32418879"/>
    <n v="23595019.660999998"/>
    <n v="265444.33165384614"/>
    <n v="129"/>
    <n v="18042"/>
    <n v="16631"/>
  </r>
  <r>
    <d v="2020-05-10T00:00:00"/>
    <x v="3"/>
    <x v="5"/>
    <n v="287206.5"/>
    <n v="29536176.10605"/>
    <n v="21276357.105999999"/>
    <n v="541588.89356153843"/>
    <n v="129"/>
    <n v="16437"/>
    <n v="15285"/>
  </r>
  <r>
    <d v="2020-05-08T00:00:00"/>
    <x v="3"/>
    <x v="5"/>
    <n v="370092"/>
    <n v="38091556.5"/>
    <n v="28012065.349999998"/>
    <n v="725212.99592307687"/>
    <n v="129"/>
    <n v="20452"/>
    <n v="18857"/>
  </r>
  <r>
    <d v="2020-05-07T00:00:00"/>
    <x v="3"/>
    <x v="5"/>
    <n v="247813.5"/>
    <n v="25325271"/>
    <n v="18582990.427999999"/>
    <n v="865201.87857692305"/>
    <n v="129"/>
    <n v="14582"/>
    <n v="13512"/>
  </r>
  <r>
    <d v="2020-05-24T00:00:00"/>
    <x v="2"/>
    <x v="5"/>
    <n v="287740.5"/>
    <n v="28188534"/>
    <n v="21369401.386999998"/>
    <n v="607679.34615384613"/>
    <n v="129"/>
    <n v="16432"/>
    <n v="15345"/>
  </r>
  <r>
    <d v="2020-05-16T00:00:00"/>
    <x v="1"/>
    <x v="6"/>
    <n v="408810"/>
    <n v="42323631"/>
    <n v="31033323.692999996"/>
    <n v="571764.09076923074"/>
    <n v="125"/>
    <n v="22291"/>
    <n v="20635"/>
  </r>
  <r>
    <d v="2020-05-19T00:00:00"/>
    <x v="2"/>
    <x v="6"/>
    <n v="362536.5"/>
    <n v="37023243"/>
    <n v="26762183.377"/>
    <n v="650375.76849230775"/>
    <n v="125"/>
    <n v="20771"/>
    <n v="19338"/>
  </r>
  <r>
    <d v="2020-05-17T00:00:00"/>
    <x v="1"/>
    <x v="6"/>
    <n v="357072"/>
    <n v="36834567"/>
    <n v="26914635.671"/>
    <n v="566638.92575384618"/>
    <n v="125"/>
    <n v="20079"/>
    <n v="18721"/>
  </r>
  <r>
    <d v="2020-05-09T00:00:00"/>
    <x v="3"/>
    <x v="6"/>
    <n v="359214"/>
    <n v="38693427"/>
    <n v="27863789.055"/>
    <n v="582268.72615384613"/>
    <n v="125"/>
    <n v="20132"/>
    <n v="18617"/>
  </r>
  <r>
    <d v="2020-05-04T00:00:00"/>
    <x v="3"/>
    <x v="6"/>
    <n v="360255"/>
    <n v="38406954"/>
    <n v="27588003.988000002"/>
    <n v="1078421.345076923"/>
    <n v="125"/>
    <n v="20495"/>
    <n v="18964"/>
  </r>
  <r>
    <d v="2020-04-29T00:00:00"/>
    <x v="4"/>
    <x v="6"/>
    <n v="387220.5"/>
    <n v="41559384"/>
    <n v="30476170.214999996"/>
    <n v="642893.56656923075"/>
    <n v="125"/>
    <n v="21863"/>
    <n v="20160"/>
  </r>
  <r>
    <d v="2020-05-02T00:00:00"/>
    <x v="4"/>
    <x v="6"/>
    <n v="296580"/>
    <n v="31843737"/>
    <n v="23119777.98"/>
    <n v="657754.31880000001"/>
    <n v="125"/>
    <n v="16932"/>
    <n v="15601"/>
  </r>
  <r>
    <d v="2020-05-26T00:00:00"/>
    <x v="0"/>
    <x v="6"/>
    <n v="369861"/>
    <n v="38365960.5"/>
    <n v="27592063.502999999"/>
    <n v="589339.03384615376"/>
    <n v="124"/>
    <n v="21153"/>
    <n v="19673"/>
  </r>
  <r>
    <d v="2020-05-01T00:00:00"/>
    <x v="4"/>
    <x v="6"/>
    <n v="372504"/>
    <n v="40077193.5"/>
    <n v="29141359.438000001"/>
    <n v="848425.41843846149"/>
    <n v="125"/>
    <n v="20602"/>
    <n v="18845"/>
  </r>
  <r>
    <d v="2020-05-12T00:00:00"/>
    <x v="1"/>
    <x v="6"/>
    <n v="373392"/>
    <n v="39578577"/>
    <n v="28453665.594999999"/>
    <n v="535419.89796923078"/>
    <n v="125"/>
    <n v="21106"/>
    <n v="19651"/>
  </r>
  <r>
    <d v="2020-05-21T00:00:00"/>
    <x v="2"/>
    <x v="6"/>
    <n v="378043.5"/>
    <n v="37902156.57"/>
    <n v="28083686.689999998"/>
    <n v="713697.60769230768"/>
    <n v="125"/>
    <n v="20911"/>
    <n v="19358"/>
  </r>
  <r>
    <d v="2020-05-20T00:00:00"/>
    <x v="2"/>
    <x v="6"/>
    <n v="388668"/>
    <n v="39639309"/>
    <n v="28736966.634"/>
    <n v="997757.75384615385"/>
    <n v="125"/>
    <n v="21674"/>
    <n v="20155"/>
  </r>
  <r>
    <d v="2020-05-05T00:00:00"/>
    <x v="3"/>
    <x v="6"/>
    <n v="333792"/>
    <n v="35671734"/>
    <n v="25644478.342"/>
    <n v="919576.96055384621"/>
    <n v="125"/>
    <n v="18944"/>
    <n v="17541"/>
  </r>
  <r>
    <d v="2020-04-28T00:00:00"/>
    <x v="4"/>
    <x v="6"/>
    <n v="376060.5"/>
    <n v="39918028.5"/>
    <n v="29154014.884"/>
    <n v="611904.23352307687"/>
    <n v="125"/>
    <n v="20914"/>
    <n v="19479"/>
  </r>
  <r>
    <d v="2020-05-13T00:00:00"/>
    <x v="1"/>
    <x v="6"/>
    <n v="350068.5"/>
    <n v="37197115.5"/>
    <n v="26793668.158999998"/>
    <n v="582815.36153846153"/>
    <n v="125"/>
    <n v="19965"/>
    <n v="18573"/>
  </r>
  <r>
    <d v="2020-05-31T00:00:00"/>
    <x v="0"/>
    <x v="5"/>
    <n v="294337.5"/>
    <n v="29327766"/>
    <n v="22491044.692999996"/>
    <n v="283716.73846153845"/>
    <n v="129"/>
    <n v="17235"/>
    <n v="16052"/>
  </r>
  <r>
    <d v="2020-05-03T00:00:00"/>
    <x v="4"/>
    <x v="6"/>
    <n v="342666"/>
    <n v="36631999.5"/>
    <n v="26408496.047999997"/>
    <n v="820373.56815384608"/>
    <n v="125"/>
    <n v="18861"/>
    <n v="17420"/>
  </r>
  <r>
    <d v="2020-05-30T00:00:00"/>
    <x v="0"/>
    <x v="5"/>
    <n v="364882.5"/>
    <n v="35724493.5"/>
    <n v="27535617.434"/>
    <n v="541116.6988461538"/>
    <n v="129"/>
    <n v="20243"/>
    <n v="18711"/>
  </r>
  <r>
    <d v="2020-05-06T00:00:00"/>
    <x v="3"/>
    <x v="6"/>
    <n v="355278"/>
    <n v="38092344"/>
    <n v="27467616.702999998"/>
    <n v="942702.9"/>
    <n v="125"/>
    <n v="20218"/>
    <n v="18647"/>
  </r>
  <r>
    <d v="2020-05-23T00:00:00"/>
    <x v="2"/>
    <x v="6"/>
    <n v="456885"/>
    <n v="46408080"/>
    <n v="34793888.932999998"/>
    <n v="595793.09065384604"/>
    <n v="125"/>
    <n v="24574"/>
    <n v="22609"/>
  </r>
  <r>
    <d v="2020-05-28T00:00:00"/>
    <x v="0"/>
    <x v="5"/>
    <n v="278491.5"/>
    <n v="28151004.75"/>
    <n v="20806418.796"/>
    <n v="591565.35384615383"/>
    <n v="129"/>
    <n v="16453"/>
    <n v="15289"/>
  </r>
  <r>
    <d v="2020-05-25T00:00:00"/>
    <x v="0"/>
    <x v="6"/>
    <n v="349734"/>
    <n v="36883428"/>
    <n v="26438356.802999999"/>
    <n v="742420.26923076913"/>
    <n v="124"/>
    <n v="20358"/>
    <n v="18890"/>
  </r>
  <r>
    <d v="2020-04-30T00:00:00"/>
    <x v="4"/>
    <x v="6"/>
    <n v="401580"/>
    <n v="43028734.5"/>
    <n v="31156525.939999998"/>
    <n v="343786.08461538458"/>
    <n v="125"/>
    <n v="22368"/>
    <n v="20625"/>
  </r>
  <r>
    <d v="2020-05-10T00:00:00"/>
    <x v="3"/>
    <x v="6"/>
    <n v="368649"/>
    <n v="39010875"/>
    <n v="28090230.958999999"/>
    <n v="532663.16153846146"/>
    <n v="125"/>
    <n v="20368"/>
    <n v="18884"/>
  </r>
  <r>
    <d v="2020-05-08T00:00:00"/>
    <x v="3"/>
    <x v="6"/>
    <n v="463530"/>
    <n v="49123180.5"/>
    <n v="36012087.989"/>
    <n v="700442.11537692312"/>
    <n v="125"/>
    <n v="24620"/>
    <n v="22641"/>
  </r>
  <r>
    <d v="2020-05-07T00:00:00"/>
    <x v="3"/>
    <x v="6"/>
    <n v="319110"/>
    <n v="33763989"/>
    <n v="24610757.489"/>
    <n v="1101833.4472307691"/>
    <n v="125"/>
    <n v="18014"/>
    <n v="16675"/>
  </r>
  <r>
    <d v="2020-05-24T00:00:00"/>
    <x v="2"/>
    <x v="6"/>
    <n v="375744"/>
    <n v="38191381.5"/>
    <n v="28822960.470999997"/>
    <n v="574198.11538461538"/>
    <n v="125"/>
    <n v="21004"/>
    <n v="19556"/>
  </r>
  <r>
    <d v="2020-05-16T00:00:00"/>
    <x v="1"/>
    <x v="7"/>
    <n v="81331.5"/>
    <n v="6652179"/>
    <n v="5305378.9040000001"/>
    <n v="156413.8362153846"/>
    <n v="36"/>
    <n v="5286"/>
    <n v="4867"/>
  </r>
  <r>
    <d v="2020-05-19T00:00:00"/>
    <x v="2"/>
    <x v="7"/>
    <n v="75796.5"/>
    <n v="6173463"/>
    <n v="4915101.7949999999"/>
    <n v="253686.7171923077"/>
    <n v="36"/>
    <n v="5094"/>
    <n v="4716"/>
  </r>
  <r>
    <d v="2020-05-17T00:00:00"/>
    <x v="1"/>
    <x v="7"/>
    <n v="72861"/>
    <n v="5952802.5"/>
    <n v="4711294.2009999994"/>
    <n v="125880.90000000001"/>
    <n v="36"/>
    <n v="4918"/>
    <n v="4554"/>
  </r>
  <r>
    <d v="2020-05-09T00:00:00"/>
    <x v="3"/>
    <x v="7"/>
    <n v="83373"/>
    <n v="7253427"/>
    <n v="5531366.3810000001"/>
    <n v="221053.87967692307"/>
    <n v="36"/>
    <n v="5413"/>
    <n v="4959"/>
  </r>
  <r>
    <d v="2020-05-04T00:00:00"/>
    <x v="3"/>
    <x v="7"/>
    <n v="64108.5"/>
    <n v="5561452.5"/>
    <n v="4257859.3720000004"/>
    <n v="337872.83273076924"/>
    <n v="36"/>
    <n v="4508"/>
    <n v="4149"/>
  </r>
  <r>
    <d v="2020-04-29T00:00:00"/>
    <x v="4"/>
    <x v="7"/>
    <n v="74707.5"/>
    <n v="6454458"/>
    <n v="4968152.9469999997"/>
    <n v="118941.29398461539"/>
    <n v="36"/>
    <n v="4937"/>
    <n v="4561"/>
  </r>
  <r>
    <d v="2020-05-02T00:00:00"/>
    <x v="4"/>
    <x v="7"/>
    <n v="46216.5"/>
    <n v="4118251.5"/>
    <n v="3133704.9279999998"/>
    <n v="179531.89196153847"/>
    <n v="36"/>
    <n v="3442"/>
    <n v="3147"/>
  </r>
  <r>
    <d v="2020-05-26T00:00:00"/>
    <x v="0"/>
    <x v="7"/>
    <n v="67726.5"/>
    <n v="5864989.5"/>
    <n v="4506085.4840000002"/>
    <n v="167003.69436153845"/>
    <n v="36"/>
    <n v="4770"/>
    <n v="4424"/>
  </r>
  <r>
    <d v="2020-05-01T00:00:00"/>
    <x v="4"/>
    <x v="7"/>
    <n v="82228.5"/>
    <n v="7032225"/>
    <n v="5546127.1919999998"/>
    <n v="196859.98644615384"/>
    <n v="36"/>
    <n v="5457"/>
    <n v="4916"/>
  </r>
  <r>
    <d v="2020-05-12T00:00:00"/>
    <x v="1"/>
    <x v="7"/>
    <n v="64390.5"/>
    <n v="5523145.5"/>
    <n v="4230689.2069999995"/>
    <n v="183154.05167692306"/>
    <n v="36"/>
    <n v="4418"/>
    <n v="4088"/>
  </r>
  <r>
    <d v="2020-05-21T00:00:00"/>
    <x v="2"/>
    <x v="7"/>
    <n v="73126.5"/>
    <n v="5864085"/>
    <n v="4847142.9859999996"/>
    <n v="142998.2095"/>
    <n v="36"/>
    <n v="4816"/>
    <n v="4452"/>
  </r>
  <r>
    <d v="2020-05-20T00:00:00"/>
    <x v="2"/>
    <x v="7"/>
    <n v="99631.5"/>
    <n v="7121946"/>
    <n v="6279205.8499999996"/>
    <n v="279127.27602307691"/>
    <n v="36"/>
    <n v="5914"/>
    <n v="5384"/>
  </r>
  <r>
    <d v="2020-05-05T00:00:00"/>
    <x v="3"/>
    <x v="7"/>
    <n v="66396"/>
    <n v="5770539"/>
    <n v="4433831.2509999992"/>
    <n v="232587.42287692308"/>
    <n v="36"/>
    <n v="4575"/>
    <n v="4206"/>
  </r>
  <r>
    <d v="2020-04-28T00:00:00"/>
    <x v="4"/>
    <x v="7"/>
    <n v="73147.5"/>
    <n v="6288246"/>
    <n v="4798265.1129999999"/>
    <n v="123081.63515384615"/>
    <n v="36"/>
    <n v="4923"/>
    <n v="4560"/>
  </r>
  <r>
    <d v="2020-05-13T00:00:00"/>
    <x v="1"/>
    <x v="7"/>
    <n v="73062"/>
    <n v="6333828"/>
    <n v="4890619.2620000001"/>
    <n v="181964.68769230769"/>
    <n v="36"/>
    <n v="4967"/>
    <n v="4583"/>
  </r>
  <r>
    <d v="2020-05-31T00:00:00"/>
    <x v="0"/>
    <x v="6"/>
    <n v="379663.5"/>
    <n v="39380178"/>
    <n v="29726473.223999996"/>
    <n v="305744.98843076918"/>
    <n v="124"/>
    <n v="21392"/>
    <n v="19869"/>
  </r>
  <r>
    <d v="2020-05-03T00:00:00"/>
    <x v="4"/>
    <x v="7"/>
    <n v="70581"/>
    <n v="6221320.5"/>
    <n v="4762185.0609999998"/>
    <n v="172821.83076923076"/>
    <n v="36"/>
    <n v="4751"/>
    <n v="4370"/>
  </r>
  <r>
    <d v="2020-05-30T00:00:00"/>
    <x v="0"/>
    <x v="6"/>
    <n v="453123"/>
    <n v="46370904"/>
    <n v="35190775.285000004"/>
    <n v="552625.80000000005"/>
    <n v="124"/>
    <n v="24325"/>
    <n v="22469"/>
  </r>
  <r>
    <d v="2020-05-06T00:00:00"/>
    <x v="3"/>
    <x v="7"/>
    <n v="63012"/>
    <n v="5454121.5"/>
    <n v="4155234.554"/>
    <n v="234787.55649230769"/>
    <n v="36"/>
    <n v="4384"/>
    <n v="4025"/>
  </r>
  <r>
    <d v="2020-05-23T00:00:00"/>
    <x v="2"/>
    <x v="7"/>
    <n v="89556"/>
    <n v="7173117"/>
    <n v="6068194.523"/>
    <n v="139983.69019999998"/>
    <n v="36"/>
    <n v="5651"/>
    <n v="5212"/>
  </r>
  <r>
    <d v="2020-05-28T00:00:00"/>
    <x v="0"/>
    <x v="6"/>
    <n v="364638"/>
    <n v="37947688.5"/>
    <n v="27829971.363000002"/>
    <n v="628647.33076923073"/>
    <n v="124"/>
    <n v="20868"/>
    <n v="19342"/>
  </r>
  <r>
    <d v="2020-05-25T00:00:00"/>
    <x v="0"/>
    <x v="7"/>
    <n v="66316.5"/>
    <n v="5704650"/>
    <n v="4375924.2359999996"/>
    <n v="135246.95929230767"/>
    <n v="36"/>
    <n v="4641"/>
    <n v="4274"/>
  </r>
  <r>
    <d v="2020-04-30T00:00:00"/>
    <x v="4"/>
    <x v="7"/>
    <n v="78235.5"/>
    <n v="6819594"/>
    <n v="5260171.5349999992"/>
    <n v="70931.816676923074"/>
    <n v="36"/>
    <n v="5143"/>
    <n v="4715"/>
  </r>
  <r>
    <d v="2020-05-10T00:00:00"/>
    <x v="3"/>
    <x v="7"/>
    <n v="88311"/>
    <n v="7726069.5"/>
    <n v="5922893.7209999999"/>
    <n v="161614.12454615385"/>
    <n v="36"/>
    <n v="5746"/>
    <n v="5277"/>
  </r>
  <r>
    <d v="2020-05-08T00:00:00"/>
    <x v="3"/>
    <x v="7"/>
    <n v="61804.5"/>
    <n v="5365708.5"/>
    <n v="4091691.3249999997"/>
    <n v="232169.67161538458"/>
    <n v="36"/>
    <n v="4199"/>
    <n v="3867"/>
  </r>
  <r>
    <d v="2020-05-07T00:00:00"/>
    <x v="3"/>
    <x v="7"/>
    <n v="71067"/>
    <n v="6175837.5"/>
    <n v="4747959.6140000001"/>
    <n v="157793.27424615383"/>
    <n v="36"/>
    <n v="4826"/>
    <n v="4426"/>
  </r>
  <r>
    <d v="2020-05-24T00:00:00"/>
    <x v="2"/>
    <x v="7"/>
    <n v="74649"/>
    <n v="6098236.5"/>
    <n v="5042435.841"/>
    <n v="156805.83461538461"/>
    <n v="36"/>
    <n v="4915"/>
    <n v="4562"/>
  </r>
  <r>
    <d v="2020-05-16T00:00:00"/>
    <x v="1"/>
    <x v="8"/>
    <n v="44560.5"/>
    <n v="4025148"/>
    <n v="3259483.304"/>
    <n v="145385.33866923075"/>
    <n v="21"/>
    <n v="2427"/>
    <n v="2213"/>
  </r>
  <r>
    <d v="2020-05-19T00:00:00"/>
    <x v="2"/>
    <x v="8"/>
    <n v="38250"/>
    <n v="3552937.5"/>
    <n v="2795344.17"/>
    <n v="245048.26007692309"/>
    <n v="21"/>
    <n v="2245"/>
    <n v="2053"/>
  </r>
  <r>
    <d v="2020-05-17T00:00:00"/>
    <x v="1"/>
    <x v="8"/>
    <n v="34830"/>
    <n v="3191155.5"/>
    <n v="2528990.5839999998"/>
    <n v="292821.22307692311"/>
    <n v="21"/>
    <n v="2054"/>
    <n v="1883"/>
  </r>
  <r>
    <d v="2020-05-09T00:00:00"/>
    <x v="3"/>
    <x v="8"/>
    <n v="32239.5"/>
    <n v="3084892.5"/>
    <n v="2384575.3629999999"/>
    <n v="184346.05176923078"/>
    <n v="21"/>
    <n v="1891"/>
    <n v="1709"/>
  </r>
  <r>
    <d v="2020-05-04T00:00:00"/>
    <x v="3"/>
    <x v="8"/>
    <n v="30780"/>
    <n v="2817853.5"/>
    <n v="2169377.2250000001"/>
    <n v="215836.18461538458"/>
    <n v="20"/>
    <n v="1804"/>
    <n v="1638"/>
  </r>
  <r>
    <d v="2020-04-29T00:00:00"/>
    <x v="4"/>
    <x v="8"/>
    <n v="29142"/>
    <n v="2627595"/>
    <n v="2033299.2799999998"/>
    <n v="202681.39594615382"/>
    <n v="19"/>
    <n v="1676"/>
    <n v="1516"/>
  </r>
  <r>
    <d v="2020-05-02T00:00:00"/>
    <x v="4"/>
    <x v="8"/>
    <n v="26428.5"/>
    <n v="2470465.5"/>
    <n v="1911613.1440000001"/>
    <n v="187667.93086153845"/>
    <n v="20"/>
    <n v="1613"/>
    <n v="1457"/>
  </r>
  <r>
    <d v="2020-05-26T00:00:00"/>
    <x v="0"/>
    <x v="8"/>
    <n v="40744.5"/>
    <n v="3700311"/>
    <n v="2861069.8419999997"/>
    <n v="170303.62015384613"/>
    <n v="21"/>
    <n v="2418"/>
    <n v="2215"/>
  </r>
  <r>
    <d v="2020-05-01T00:00:00"/>
    <x v="4"/>
    <x v="8"/>
    <n v="46620"/>
    <n v="4293241.5"/>
    <n v="3389723.9589999998"/>
    <n v="329717.03827692306"/>
    <n v="20"/>
    <n v="2468"/>
    <n v="2221"/>
  </r>
  <r>
    <d v="2020-05-12T00:00:00"/>
    <x v="1"/>
    <x v="8"/>
    <n v="32419.5"/>
    <n v="3080614.5"/>
    <n v="2363955.7909999997"/>
    <n v="200042.36143846155"/>
    <n v="21"/>
    <n v="1926"/>
    <n v="1745"/>
  </r>
  <r>
    <d v="2020-05-21T00:00:00"/>
    <x v="2"/>
    <x v="8"/>
    <n v="40819.5"/>
    <n v="3810394.5"/>
    <n v="3046897.7940000002"/>
    <n v="144594.40769230769"/>
    <n v="21"/>
    <n v="2335"/>
    <n v="2126"/>
  </r>
  <r>
    <d v="2020-05-20T00:00:00"/>
    <x v="2"/>
    <x v="8"/>
    <n v="41391"/>
    <n v="3918987"/>
    <n v="3141103.9569999999"/>
    <n v="205451.17950769232"/>
    <n v="21"/>
    <n v="2410"/>
    <n v="2202"/>
  </r>
  <r>
    <d v="2020-05-05T00:00:00"/>
    <x v="3"/>
    <x v="8"/>
    <n v="29482.5"/>
    <n v="2648688"/>
    <n v="2021918.12"/>
    <n v="219587.1531846154"/>
    <n v="20"/>
    <n v="1757"/>
    <n v="1596"/>
  </r>
  <r>
    <d v="2020-04-28T00:00:00"/>
    <x v="4"/>
    <x v="8"/>
    <n v="32181"/>
    <n v="2863600.5"/>
    <n v="2246478.6170000001"/>
    <n v="140503.93076923076"/>
    <n v="19"/>
    <n v="1846"/>
    <n v="1681"/>
  </r>
  <r>
    <d v="2020-05-13T00:00:00"/>
    <x v="1"/>
    <x v="8"/>
    <n v="35535"/>
    <n v="3288069"/>
    <n v="2580984.0299999998"/>
    <n v="208081.82515384615"/>
    <n v="21"/>
    <n v="2061"/>
    <n v="1876"/>
  </r>
  <r>
    <d v="2020-05-31T00:00:00"/>
    <x v="0"/>
    <x v="7"/>
    <n v="76234.5"/>
    <n v="6500848.5"/>
    <n v="5172874.4439999992"/>
    <n v="60556.251538461533"/>
    <n v="37"/>
    <n v="5215"/>
    <n v="4848"/>
  </r>
  <r>
    <d v="2020-05-03T00:00:00"/>
    <x v="4"/>
    <x v="8"/>
    <n v="29935.5"/>
    <n v="2720002.5"/>
    <n v="2102974.0010000002"/>
    <n v="175338.6411076923"/>
    <n v="20"/>
    <n v="1716"/>
    <n v="1561"/>
  </r>
  <r>
    <d v="2020-05-30T00:00:00"/>
    <x v="0"/>
    <x v="7"/>
    <n v="106926"/>
    <n v="9098386.5"/>
    <n v="7354572.0109999999"/>
    <n v="193869.59292307691"/>
    <n v="37"/>
    <n v="6645"/>
    <n v="6122"/>
  </r>
  <r>
    <d v="2020-05-06T00:00:00"/>
    <x v="3"/>
    <x v="8"/>
    <n v="30342"/>
    <n v="2738127"/>
    <n v="2094375.01"/>
    <n v="174068.47879999998"/>
    <n v="20"/>
    <n v="1747"/>
    <n v="1570"/>
  </r>
  <r>
    <d v="2020-05-23T00:00:00"/>
    <x v="2"/>
    <x v="8"/>
    <n v="42999"/>
    <n v="3883215"/>
    <n v="3151914.3419999997"/>
    <n v="162279.9956153846"/>
    <n v="21"/>
    <n v="2460"/>
    <n v="2226"/>
  </r>
  <r>
    <d v="2020-05-28T00:00:00"/>
    <x v="0"/>
    <x v="7"/>
    <n v="69945"/>
    <n v="6101931"/>
    <n v="4743581.9779999992"/>
    <n v="226018.55243846151"/>
    <n v="37"/>
    <n v="4840"/>
    <n v="4475"/>
  </r>
  <r>
    <d v="2020-05-25T00:00:00"/>
    <x v="0"/>
    <x v="8"/>
    <n v="38740.5"/>
    <n v="3561655.5"/>
    <n v="2769041.2770000002"/>
    <n v="180495.52483076922"/>
    <n v="21"/>
    <n v="2330"/>
    <n v="2142"/>
  </r>
  <r>
    <d v="2020-04-30T00:00:00"/>
    <x v="4"/>
    <x v="8"/>
    <n v="31231.5"/>
    <n v="2853310.5"/>
    <n v="2211817.6569999997"/>
    <n v="63441.684615384613"/>
    <n v="20"/>
    <n v="1756"/>
    <n v="1586"/>
  </r>
  <r>
    <d v="2020-05-10T00:00:00"/>
    <x v="3"/>
    <x v="8"/>
    <n v="37489.5"/>
    <n v="3549097.5"/>
    <n v="2745646.9479999999"/>
    <n v="258287.05384615384"/>
    <n v="21"/>
    <n v="2120"/>
    <n v="1921"/>
  </r>
  <r>
    <d v="2020-05-08T00:00:00"/>
    <x v="3"/>
    <x v="8"/>
    <n v="34399.5"/>
    <n v="3201358.5"/>
    <n v="2481896.3339999998"/>
    <n v="156377.12456923077"/>
    <n v="21"/>
    <n v="1957"/>
    <n v="1755"/>
  </r>
  <r>
    <d v="2020-05-07T00:00:00"/>
    <x v="3"/>
    <x v="8"/>
    <n v="32851.5"/>
    <n v="2934504"/>
    <n v="2253872.1379999998"/>
    <n v="160756.50769230767"/>
    <n v="21"/>
    <n v="1879"/>
    <n v="1695"/>
  </r>
  <r>
    <d v="2020-05-24T00:00:00"/>
    <x v="2"/>
    <x v="8"/>
    <n v="38194.5"/>
    <n v="3449302.5"/>
    <n v="2798056.2479999997"/>
    <n v="174707.83838461537"/>
    <n v="21"/>
    <n v="2254"/>
    <n v="2061"/>
  </r>
  <r>
    <d v="2020-05-31T00:00:00"/>
    <x v="0"/>
    <x v="8"/>
    <n v="42423"/>
    <n v="3994153.5"/>
    <n v="3105853.9129999997"/>
    <n v="53605.712153846151"/>
    <n v="23"/>
    <n v="2522"/>
    <n v="2295"/>
  </r>
  <r>
    <d v="2020-05-30T00:00:00"/>
    <x v="0"/>
    <x v="8"/>
    <n v="48286.5"/>
    <n v="4456441.5"/>
    <n v="3473157.5449999999"/>
    <n v="205639.55141538463"/>
    <n v="22"/>
    <n v="2793"/>
    <n v="2539"/>
  </r>
  <r>
    <d v="2020-05-28T00:00:00"/>
    <x v="0"/>
    <x v="8"/>
    <n v="41442"/>
    <n v="3893680.5"/>
    <n v="3004872.3489999999"/>
    <n v="190911.88401538462"/>
    <n v="22"/>
    <n v="2454"/>
    <n v="2239"/>
  </r>
  <r>
    <d v="2020-05-16T00:00:00"/>
    <x v="1"/>
    <x v="9"/>
    <n v="18600"/>
    <n v="1601425.5"/>
    <n v="1268422.666"/>
    <n v="189642.93076923076"/>
    <n v="15"/>
    <n v="1111"/>
    <n v="992"/>
  </r>
  <r>
    <d v="2020-05-19T00:00:00"/>
    <x v="2"/>
    <x v="9"/>
    <n v="16638"/>
    <n v="1364847"/>
    <n v="1137103.412"/>
    <n v="258642.5153846154"/>
    <n v="16"/>
    <n v="1012"/>
    <n v="900"/>
  </r>
  <r>
    <d v="2020-05-17T00:00:00"/>
    <x v="1"/>
    <x v="9"/>
    <n v="15609"/>
    <n v="1377577.5"/>
    <n v="1086345.0159999998"/>
    <n v="224718.40769230769"/>
    <n v="15"/>
    <n v="971"/>
    <n v="856"/>
  </r>
  <r>
    <d v="2020-05-09T00:00:00"/>
    <x v="3"/>
    <x v="9"/>
    <n v="13948.5"/>
    <n v="1222932"/>
    <n v="974409.1449999999"/>
    <n v="299208.26923076925"/>
    <n v="15"/>
    <n v="849"/>
    <n v="740"/>
  </r>
  <r>
    <d v="2020-05-04T00:00:00"/>
    <x v="3"/>
    <x v="9"/>
    <n v="12301.5"/>
    <n v="1085211"/>
    <n v="874153.34499999997"/>
    <n v="243709.48269230771"/>
    <n v="15"/>
    <n v="750"/>
    <n v="647"/>
  </r>
  <r>
    <d v="2020-04-29T00:00:00"/>
    <x v="4"/>
    <x v="9"/>
    <n v="13014"/>
    <n v="1115992.5"/>
    <n v="928035.23599999992"/>
    <n v="185811.06153846154"/>
    <n v="15"/>
    <n v="786"/>
    <n v="695"/>
  </r>
  <r>
    <d v="2020-05-02T00:00:00"/>
    <x v="4"/>
    <x v="9"/>
    <n v="12313.5"/>
    <n v="1053220.5"/>
    <n v="843395.10900000005"/>
    <n v="137019.67692307691"/>
    <n v="15"/>
    <n v="751"/>
    <n v="651"/>
  </r>
  <r>
    <d v="2020-05-26T00:00:00"/>
    <x v="0"/>
    <x v="9"/>
    <n v="17391"/>
    <n v="1489132.5"/>
    <n v="1209901.0159999998"/>
    <n v="272121.81538461539"/>
    <n v="17"/>
    <n v="1140"/>
    <n v="1016"/>
  </r>
  <r>
    <d v="2020-05-01T00:00:00"/>
    <x v="4"/>
    <x v="9"/>
    <n v="17113.5"/>
    <n v="1465842"/>
    <n v="1193019.642"/>
    <n v="272484.63076923077"/>
    <n v="15"/>
    <n v="996"/>
    <n v="888"/>
  </r>
  <r>
    <d v="2020-05-12T00:00:00"/>
    <x v="1"/>
    <x v="9"/>
    <n v="12802.5"/>
    <n v="1123830"/>
    <n v="914932.571"/>
    <n v="284287.79007692303"/>
    <n v="15"/>
    <n v="845"/>
    <n v="743"/>
  </r>
  <r>
    <d v="2020-05-21T00:00:00"/>
    <x v="2"/>
    <x v="9"/>
    <n v="16554"/>
    <n v="1380751.5"/>
    <n v="1137748.7319999998"/>
    <n v="227139.51416923077"/>
    <n v="17"/>
    <n v="1045"/>
    <n v="930"/>
  </r>
  <r>
    <d v="2020-05-20T00:00:00"/>
    <x v="2"/>
    <x v="9"/>
    <n v="17329.5"/>
    <n v="1430254.5"/>
    <n v="1175778.8370000001"/>
    <n v="286968.87692307692"/>
    <n v="16"/>
    <n v="1050"/>
    <n v="938"/>
  </r>
  <r>
    <d v="2020-05-05T00:00:00"/>
    <x v="3"/>
    <x v="9"/>
    <n v="15987"/>
    <n v="1384179"/>
    <n v="1116620.7919999999"/>
    <n v="220298.15353846154"/>
    <n v="15"/>
    <n v="922"/>
    <n v="823"/>
  </r>
  <r>
    <d v="2020-04-28T00:00:00"/>
    <x v="4"/>
    <x v="9"/>
    <n v="13303.5"/>
    <n v="1102887"/>
    <n v="914116.79200000002"/>
    <n v="173095.92049999998"/>
    <n v="15"/>
    <n v="780"/>
    <n v="690"/>
  </r>
  <r>
    <d v="2020-05-13T00:00:00"/>
    <x v="1"/>
    <x v="9"/>
    <n v="14305.5"/>
    <n v="1243507.5"/>
    <n v="987216.74099999992"/>
    <n v="233030.6"/>
    <n v="15"/>
    <n v="898"/>
    <n v="795"/>
  </r>
  <r>
    <d v="2020-05-03T00:00:00"/>
    <x v="4"/>
    <x v="9"/>
    <n v="12924"/>
    <n v="1120009.5"/>
    <n v="902752.71699999995"/>
    <n v="193184.6"/>
    <n v="15"/>
    <n v="784"/>
    <n v="696"/>
  </r>
  <r>
    <d v="2020-05-06T00:00:00"/>
    <x v="3"/>
    <x v="9"/>
    <n v="14061"/>
    <n v="1221057"/>
    <n v="983096.41700000002"/>
    <n v="373408.83343076921"/>
    <n v="15"/>
    <n v="839"/>
    <n v="733"/>
  </r>
  <r>
    <d v="2020-05-23T00:00:00"/>
    <x v="2"/>
    <x v="9"/>
    <n v="21958.5"/>
    <n v="1854001.5"/>
    <n v="1515956.368"/>
    <n v="206787.93638461537"/>
    <n v="17"/>
    <n v="1294"/>
    <n v="1155"/>
  </r>
  <r>
    <d v="2020-05-25T00:00:00"/>
    <x v="0"/>
    <x v="9"/>
    <n v="17211"/>
    <n v="1507867.5"/>
    <n v="1217527.6069999998"/>
    <n v="246242.8615384615"/>
    <n v="17"/>
    <n v="1142"/>
    <n v="1020"/>
  </r>
  <r>
    <d v="2020-04-30T00:00:00"/>
    <x v="4"/>
    <x v="9"/>
    <n v="12753"/>
    <n v="1103068.5"/>
    <n v="904501.45600000001"/>
    <n v="58978.558669230762"/>
    <n v="15"/>
    <n v="791"/>
    <n v="691"/>
  </r>
  <r>
    <d v="2020-05-10T00:00:00"/>
    <x v="3"/>
    <x v="9"/>
    <n v="16435.5"/>
    <n v="1471537.5"/>
    <n v="1176721.1640000001"/>
    <n v="252262.82307692306"/>
    <n v="15"/>
    <n v="950"/>
    <n v="848"/>
  </r>
  <r>
    <d v="2020-05-08T00:00:00"/>
    <x v="3"/>
    <x v="9"/>
    <n v="14494.5"/>
    <n v="1269786"/>
    <n v="1018857.6680000001"/>
    <n v="197493.53076923077"/>
    <n v="15"/>
    <n v="879"/>
    <n v="768"/>
  </r>
  <r>
    <d v="2020-05-07T00:00:00"/>
    <x v="3"/>
    <x v="9"/>
    <n v="12705"/>
    <n v="1123894.5"/>
    <n v="898508.49699999997"/>
    <n v="273904.81530769228"/>
    <n v="15"/>
    <n v="805"/>
    <n v="703"/>
  </r>
  <r>
    <d v="2020-05-24T00:00:00"/>
    <x v="2"/>
    <x v="9"/>
    <n v="18075"/>
    <n v="1548099"/>
    <n v="1256993.4810000001"/>
    <n v="213288.93846153846"/>
    <n v="17"/>
    <n v="1128"/>
    <n v="1001"/>
  </r>
  <r>
    <d v="2020-05-16T00:00:00"/>
    <x v="1"/>
    <x v="10"/>
    <n v="13120.5"/>
    <n v="1215033"/>
    <n v="985281.03599999985"/>
    <n v="143418.86295384614"/>
    <n v="15"/>
    <n v="747"/>
    <n v="647"/>
  </r>
  <r>
    <d v="2020-05-19T00:00:00"/>
    <x v="2"/>
    <x v="10"/>
    <n v="16237.5"/>
    <n v="1403047.5"/>
    <n v="1195875.8800000001"/>
    <n v="173178.52204615384"/>
    <n v="15"/>
    <n v="930"/>
    <n v="827"/>
  </r>
  <r>
    <d v="2020-05-17T00:00:00"/>
    <x v="1"/>
    <x v="10"/>
    <n v="11967"/>
    <n v="1060489.5"/>
    <n v="851805.179"/>
    <n v="171981.49101538458"/>
    <n v="15"/>
    <n v="692"/>
    <n v="591"/>
  </r>
  <r>
    <d v="2020-05-09T00:00:00"/>
    <x v="3"/>
    <x v="10"/>
    <n v="12037.5"/>
    <n v="1081216.5"/>
    <n v="910141.15500000003"/>
    <n v="143296.04318461538"/>
    <n v="15"/>
    <n v="623"/>
    <n v="535"/>
  </r>
  <r>
    <d v="2020-05-04T00:00:00"/>
    <x v="3"/>
    <x v="10"/>
    <n v="7087.5"/>
    <n v="610855.5"/>
    <n v="541946.12800000003"/>
    <n v="150795.58461538461"/>
    <n v="15"/>
    <n v="390"/>
    <n v="315"/>
  </r>
  <r>
    <d v="2020-04-29T00:00:00"/>
    <x v="4"/>
    <x v="11"/>
    <n v="25816.5"/>
    <n v="2360914.5"/>
    <n v="1868643.6719999998"/>
    <n v="137636.84266153845"/>
    <n v="18"/>
    <n v="1599"/>
    <n v="1450"/>
  </r>
  <r>
    <d v="2020-05-02T00:00:00"/>
    <x v="4"/>
    <x v="10"/>
    <n v="4624.5"/>
    <n v="433243.5"/>
    <n v="377401.46199999994"/>
    <n v="65936.343369230759"/>
    <n v="15"/>
    <n v="274"/>
    <n v="203"/>
  </r>
  <r>
    <d v="2020-05-26T00:00:00"/>
    <x v="0"/>
    <x v="10"/>
    <n v="12259.5"/>
    <n v="1152054"/>
    <n v="906579.62099999993"/>
    <n v="217611.18753846153"/>
    <n v="15"/>
    <n v="812"/>
    <n v="711"/>
  </r>
  <r>
    <d v="2020-05-01T00:00:00"/>
    <x v="4"/>
    <x v="10"/>
    <n v="5446.5"/>
    <n v="505572"/>
    <n v="422390.908"/>
    <n v="42729.218369230766"/>
    <n v="15"/>
    <n v="294"/>
    <n v="225"/>
  </r>
  <r>
    <d v="2020-05-12T00:00:00"/>
    <x v="1"/>
    <x v="10"/>
    <n v="11296.5"/>
    <n v="989632.5"/>
    <n v="829947.41200000001"/>
    <n v="196319.5046923077"/>
    <n v="15"/>
    <n v="624"/>
    <n v="538"/>
  </r>
  <r>
    <d v="2020-05-21T00:00:00"/>
    <x v="2"/>
    <x v="10"/>
    <n v="12135"/>
    <n v="1103623.5"/>
    <n v="899589.3060000001"/>
    <n v="184440.53076923077"/>
    <n v="15"/>
    <n v="749"/>
    <n v="652"/>
  </r>
  <r>
    <d v="2020-05-20T00:00:00"/>
    <x v="2"/>
    <x v="10"/>
    <n v="12630"/>
    <n v="1104858"/>
    <n v="915994.11899999983"/>
    <n v="161654.46923076923"/>
    <n v="15"/>
    <n v="760"/>
    <n v="664"/>
  </r>
  <r>
    <d v="2020-05-05T00:00:00"/>
    <x v="3"/>
    <x v="10"/>
    <n v="8223"/>
    <n v="694593"/>
    <n v="622755.04999999993"/>
    <n v="172368.62218461538"/>
    <n v="15"/>
    <n v="455"/>
    <n v="381"/>
  </r>
  <r>
    <d v="2020-04-28T00:00:00"/>
    <x v="4"/>
    <x v="11"/>
    <n v="25149"/>
    <n v="2277072"/>
    <n v="1804070.1239999998"/>
    <n v="125553.02143076922"/>
    <n v="18"/>
    <n v="1505"/>
    <n v="1368"/>
  </r>
  <r>
    <d v="2020-05-13T00:00:00"/>
    <x v="1"/>
    <x v="10"/>
    <n v="10401"/>
    <n v="949912.5"/>
    <n v="785961.28899999999"/>
    <n v="253438.94004615385"/>
    <n v="15"/>
    <n v="599"/>
    <n v="515"/>
  </r>
  <r>
    <d v="2020-05-31T00:00:00"/>
    <x v="0"/>
    <x v="9"/>
    <n v="17689.5"/>
    <n v="1592119.5"/>
    <n v="1279369.1529999999"/>
    <n v="119890.85384615383"/>
    <n v="17"/>
    <n v="1186"/>
    <n v="1054"/>
  </r>
  <r>
    <d v="2020-05-03T00:00:00"/>
    <x v="4"/>
    <x v="10"/>
    <n v="8127"/>
    <n v="665302.5"/>
    <n v="644221.49399999995"/>
    <n v="95245.727138461531"/>
    <n v="15"/>
    <n v="455"/>
    <n v="384"/>
  </r>
  <r>
    <d v="2020-05-30T00:00:00"/>
    <x v="0"/>
    <x v="9"/>
    <n v="27250.5"/>
    <n v="2457252"/>
    <n v="1983435.05"/>
    <n v="175066.50692307693"/>
    <n v="17"/>
    <n v="1697"/>
    <n v="1499"/>
  </r>
  <r>
    <d v="2020-05-06T00:00:00"/>
    <x v="3"/>
    <x v="10"/>
    <n v="8464.5"/>
    <n v="739291.5"/>
    <n v="651727.3679999999"/>
    <n v="154318.62433846152"/>
    <n v="15"/>
    <n v="467"/>
    <n v="389"/>
  </r>
  <r>
    <d v="2020-05-23T00:00:00"/>
    <x v="2"/>
    <x v="10"/>
    <n v="14167.5"/>
    <n v="1315075.5"/>
    <n v="1074904.135"/>
    <n v="269233.34436923079"/>
    <n v="15"/>
    <n v="840"/>
    <n v="725"/>
  </r>
  <r>
    <d v="2020-05-28T00:00:00"/>
    <x v="0"/>
    <x v="9"/>
    <n v="16500"/>
    <n v="1487928"/>
    <n v="1187884.8939999999"/>
    <n v="279400.0153846154"/>
    <n v="17"/>
    <n v="1097"/>
    <n v="968"/>
  </r>
  <r>
    <d v="2020-05-25T00:00:00"/>
    <x v="0"/>
    <x v="10"/>
    <n v="13260"/>
    <n v="1230687"/>
    <n v="985675.48699999996"/>
    <n v="224353.45695384615"/>
    <n v="15"/>
    <n v="835"/>
    <n v="736"/>
  </r>
  <r>
    <d v="2020-04-30T00:00:00"/>
    <x v="4"/>
    <x v="10"/>
    <n v="4285.5"/>
    <n v="404691"/>
    <n v="333054.54800000001"/>
    <n v="11494.630769230769"/>
    <n v="15"/>
    <n v="262"/>
    <n v="195"/>
  </r>
  <r>
    <d v="2020-05-10T00:00:00"/>
    <x v="3"/>
    <x v="10"/>
    <n v="13440"/>
    <n v="1198285.5"/>
    <n v="1018063.802"/>
    <n v="178012.59307692308"/>
    <n v="15"/>
    <n v="706"/>
    <n v="608"/>
  </r>
  <r>
    <d v="2020-05-08T00:00:00"/>
    <x v="3"/>
    <x v="10"/>
    <n v="9058.5"/>
    <n v="798759"/>
    <n v="669115.93699999992"/>
    <n v="171987.47030000002"/>
    <n v="15"/>
    <n v="492"/>
    <n v="412"/>
  </r>
  <r>
    <d v="2020-05-07T00:00:00"/>
    <x v="3"/>
    <x v="10"/>
    <n v="8719.5"/>
    <n v="769276.5"/>
    <n v="654599.97699999996"/>
    <n v="184385.1884923077"/>
    <n v="15"/>
    <n v="480"/>
    <n v="398"/>
  </r>
  <r>
    <d v="2020-05-24T00:00:00"/>
    <x v="2"/>
    <x v="10"/>
    <n v="12666"/>
    <n v="1184865"/>
    <n v="953822.62099999993"/>
    <n v="340158.78723076923"/>
    <n v="15"/>
    <n v="779"/>
    <n v="673"/>
  </r>
  <r>
    <d v="2020-05-16T00:00:00"/>
    <x v="1"/>
    <x v="11"/>
    <n v="34563"/>
    <n v="2922883.5"/>
    <n v="2340316.3049999997"/>
    <n v="109812.45384615385"/>
    <n v="19"/>
    <n v="2039"/>
    <n v="1868"/>
  </r>
  <r>
    <d v="2020-05-19T00:00:00"/>
    <x v="2"/>
    <x v="11"/>
    <n v="28882.5"/>
    <n v="2446530"/>
    <n v="1956748.2629999998"/>
    <n v="108543.03143076923"/>
    <n v="19"/>
    <n v="1831"/>
    <n v="1667"/>
  </r>
  <r>
    <d v="2020-05-17T00:00:00"/>
    <x v="1"/>
    <x v="11"/>
    <n v="28275"/>
    <n v="2435632.5"/>
    <n v="1954139.7149999999"/>
    <n v="79541.984615384616"/>
    <n v="19"/>
    <n v="1790"/>
    <n v="1633"/>
  </r>
  <r>
    <d v="2020-05-09T00:00:00"/>
    <x v="3"/>
    <x v="11"/>
    <n v="26271"/>
    <n v="2384937"/>
    <n v="1880070.5110000002"/>
    <n v="141472.14615384614"/>
    <n v="19"/>
    <n v="1542"/>
    <n v="1412"/>
  </r>
  <r>
    <d v="2020-05-04T00:00:00"/>
    <x v="3"/>
    <x v="11"/>
    <n v="23587.5"/>
    <n v="2155668"/>
    <n v="1685753.1839999999"/>
    <n v="135489.15811538461"/>
    <n v="19"/>
    <n v="1479"/>
    <n v="1346"/>
  </r>
  <r>
    <d v="2020-05-02T00:00:00"/>
    <x v="4"/>
    <x v="11"/>
    <n v="18427.5"/>
    <n v="1682851.5"/>
    <n v="1337535.2989999999"/>
    <n v="121636.08074615385"/>
    <n v="19"/>
    <n v="1206"/>
    <n v="1080"/>
  </r>
  <r>
    <d v="2020-05-26T00:00:00"/>
    <x v="0"/>
    <x v="11"/>
    <n v="27156"/>
    <n v="2410803"/>
    <n v="1897998.2520000001"/>
    <n v="96303.4"/>
    <n v="20"/>
    <n v="1814"/>
    <n v="1655"/>
  </r>
  <r>
    <d v="2020-05-01T00:00:00"/>
    <x v="4"/>
    <x v="11"/>
    <n v="35190"/>
    <n v="3168510"/>
    <n v="2533138.7200000002"/>
    <n v="102615.49999999999"/>
    <n v="19"/>
    <n v="1987"/>
    <n v="1791"/>
  </r>
  <r>
    <d v="2020-05-12T00:00:00"/>
    <x v="1"/>
    <x v="11"/>
    <n v="25483.5"/>
    <n v="2243160"/>
    <n v="1757185.7729999998"/>
    <n v="114933.59230769231"/>
    <n v="19"/>
    <n v="1598"/>
    <n v="1454"/>
  </r>
  <r>
    <d v="2020-05-21T00:00:00"/>
    <x v="2"/>
    <x v="11"/>
    <n v="25362"/>
    <n v="2198935.5"/>
    <n v="1755958.3049999999"/>
    <n v="102833.37792307691"/>
    <n v="19"/>
    <n v="1650"/>
    <n v="1505"/>
  </r>
  <r>
    <d v="2020-05-20T00:00:00"/>
    <x v="2"/>
    <x v="11"/>
    <n v="28849.5"/>
    <n v="2520759"/>
    <n v="2010739.0729999999"/>
    <n v="106300.0107076923"/>
    <n v="19"/>
    <n v="1823"/>
    <n v="1678"/>
  </r>
  <r>
    <d v="2020-05-05T00:00:00"/>
    <x v="3"/>
    <x v="11"/>
    <n v="26367"/>
    <n v="2380333.5"/>
    <n v="1873451.2719999999"/>
    <n v="149632.49369999999"/>
    <n v="19"/>
    <n v="1622"/>
    <n v="1482"/>
  </r>
  <r>
    <d v="2020-05-13T00:00:00"/>
    <x v="1"/>
    <x v="11"/>
    <n v="25539"/>
    <n v="2263651.5"/>
    <n v="1783039.3049999997"/>
    <n v="139331.31929230769"/>
    <n v="19"/>
    <n v="1605"/>
    <n v="1447"/>
  </r>
  <r>
    <d v="2020-05-31T00:00:00"/>
    <x v="0"/>
    <x v="10"/>
    <n v="14808"/>
    <n v="1336789.5"/>
    <n v="1084824.9949999999"/>
    <n v="167974.06755384614"/>
    <n v="16"/>
    <n v="917"/>
    <n v="802"/>
  </r>
  <r>
    <d v="2020-05-03T00:00:00"/>
    <x v="4"/>
    <x v="11"/>
    <n v="21343.5"/>
    <n v="1906557"/>
    <n v="1485927.8739999998"/>
    <n v="100092.68052307691"/>
    <n v="19"/>
    <n v="1314"/>
    <n v="1192"/>
  </r>
  <r>
    <d v="2020-05-30T00:00:00"/>
    <x v="0"/>
    <x v="10"/>
    <n v="17946"/>
    <n v="1609090.5"/>
    <n v="1298844.2"/>
    <n v="137945.5276"/>
    <n v="16"/>
    <n v="1048"/>
    <n v="918"/>
  </r>
  <r>
    <d v="2020-05-06T00:00:00"/>
    <x v="3"/>
    <x v="11"/>
    <n v="24337.5"/>
    <n v="2159350.5"/>
    <n v="1715939.5399999998"/>
    <n v="115138.50836153845"/>
    <n v="19"/>
    <n v="1509"/>
    <n v="1374"/>
  </r>
  <r>
    <d v="2020-05-23T00:00:00"/>
    <x v="2"/>
    <x v="11"/>
    <n v="36997.5"/>
    <n v="3089140.5"/>
    <n v="2533823.1740000001"/>
    <n v="109891.53846153845"/>
    <n v="19"/>
    <n v="2195"/>
    <n v="1999"/>
  </r>
  <r>
    <d v="2020-05-28T00:00:00"/>
    <x v="0"/>
    <x v="10"/>
    <n v="13864.5"/>
    <n v="1239747"/>
    <n v="995597.5199999999"/>
    <n v="216733.44615384613"/>
    <n v="16"/>
    <n v="876"/>
    <n v="762"/>
  </r>
  <r>
    <d v="2020-05-25T00:00:00"/>
    <x v="0"/>
    <x v="11"/>
    <n v="28494"/>
    <n v="2512803"/>
    <n v="1972327.267"/>
    <n v="174025.3846153846"/>
    <n v="20"/>
    <n v="1899"/>
    <n v="1738"/>
  </r>
  <r>
    <d v="2020-04-30T00:00:00"/>
    <x v="4"/>
    <x v="11"/>
    <n v="27883.5"/>
    <n v="2560080"/>
    <n v="2016381.645"/>
    <n v="41912.707692307689"/>
    <n v="19"/>
    <n v="1662"/>
    <n v="1506"/>
  </r>
  <r>
    <d v="2020-05-10T00:00:00"/>
    <x v="3"/>
    <x v="11"/>
    <n v="31224"/>
    <n v="2767270.5"/>
    <n v="2174380.5969999996"/>
    <n v="80170.980907692297"/>
    <n v="19"/>
    <n v="1836"/>
    <n v="1680"/>
  </r>
  <r>
    <d v="2020-05-08T00:00:00"/>
    <x v="3"/>
    <x v="11"/>
    <n v="25020"/>
    <n v="2235960"/>
    <n v="1780335.608"/>
    <n v="140320.89928461539"/>
    <n v="19"/>
    <n v="1520"/>
    <n v="1380"/>
  </r>
  <r>
    <d v="2020-05-07T00:00:00"/>
    <x v="3"/>
    <x v="11"/>
    <n v="26184"/>
    <n v="2308336.5"/>
    <n v="1837113.1940000001"/>
    <n v="115064.43612307693"/>
    <n v="19"/>
    <n v="1580"/>
    <n v="1435"/>
  </r>
  <r>
    <d v="2020-05-24T00:00:00"/>
    <x v="2"/>
    <x v="11"/>
    <n v="29824.5"/>
    <n v="2526909"/>
    <n v="2092407.26"/>
    <n v="62346.415384615379"/>
    <n v="19"/>
    <n v="1868"/>
    <n v="1706"/>
  </r>
  <r>
    <d v="2020-04-29T00:00:00"/>
    <x v="4"/>
    <x v="12"/>
    <n v="208351.5"/>
    <n v="21615333"/>
    <n v="15729720.814999998"/>
    <n v="273156.71999999997"/>
    <n v="59"/>
    <n v="13186"/>
    <n v="12251"/>
  </r>
  <r>
    <d v="2020-04-28T00:00:00"/>
    <x v="4"/>
    <x v="12"/>
    <n v="204637.5"/>
    <n v="21114898.5"/>
    <n v="15426373.358999999"/>
    <n v="255889.23846153845"/>
    <n v="59"/>
    <n v="12943"/>
    <n v="12072"/>
  </r>
  <r>
    <d v="2020-05-31T00:00:00"/>
    <x v="0"/>
    <x v="11"/>
    <n v="31372.5"/>
    <n v="2794324.5"/>
    <n v="2251714.5490000001"/>
    <n v="37852.04366923077"/>
    <n v="21"/>
    <n v="2056"/>
    <n v="1879"/>
  </r>
  <r>
    <d v="2020-05-30T00:00:00"/>
    <x v="0"/>
    <x v="11"/>
    <n v="34681.5"/>
    <n v="3005334"/>
    <n v="2408136.8190000001"/>
    <n v="113231.09230769232"/>
    <n v="20"/>
    <n v="2174"/>
    <n v="1957"/>
  </r>
  <r>
    <d v="2020-05-28T00:00:00"/>
    <x v="0"/>
    <x v="11"/>
    <n v="28197"/>
    <n v="2559211.5"/>
    <n v="2038847.0090000001"/>
    <n v="74270.530769230769"/>
    <n v="20"/>
    <n v="1875"/>
    <n v="1701"/>
  </r>
  <r>
    <d v="2020-05-16T00:00:00"/>
    <x v="1"/>
    <x v="12"/>
    <n v="236551.5"/>
    <n v="23689383"/>
    <n v="17329462.175999999"/>
    <n v="258177.63846153844"/>
    <n v="60"/>
    <n v="14049"/>
    <n v="13118"/>
  </r>
  <r>
    <d v="2020-05-19T00:00:00"/>
    <x v="2"/>
    <x v="12"/>
    <n v="223597.5"/>
    <n v="21945858"/>
    <n v="15975681.728"/>
    <n v="296759.42307692306"/>
    <n v="60"/>
    <n v="13867"/>
    <n v="12987"/>
  </r>
  <r>
    <d v="2020-05-17T00:00:00"/>
    <x v="1"/>
    <x v="12"/>
    <n v="193363.5"/>
    <n v="19546386"/>
    <n v="14278298.844000001"/>
    <n v="264289.06153846154"/>
    <n v="60"/>
    <n v="11698"/>
    <n v="10989"/>
  </r>
  <r>
    <d v="2020-05-09T00:00:00"/>
    <x v="3"/>
    <x v="12"/>
    <n v="188319"/>
    <n v="19218631.5"/>
    <n v="13973128.512"/>
    <n v="403874.8839461538"/>
    <n v="59"/>
    <n v="12016"/>
    <n v="11137"/>
  </r>
  <r>
    <d v="2020-05-04T00:00:00"/>
    <x v="3"/>
    <x v="12"/>
    <n v="237544.5"/>
    <n v="24292218"/>
    <n v="17650186.028999999"/>
    <n v="347608.63846153842"/>
    <n v="59"/>
    <n v="14423"/>
    <n v="13432"/>
  </r>
  <r>
    <d v="2020-04-29T00:00:00"/>
    <x v="4"/>
    <x v="13"/>
    <n v="203209.5"/>
    <n v="20871391.5"/>
    <n v="15206983.089"/>
    <n v="284467.66153846157"/>
    <n v="54"/>
    <n v="12747"/>
    <n v="11884"/>
  </r>
  <r>
    <d v="2020-05-02T00:00:00"/>
    <x v="4"/>
    <x v="12"/>
    <n v="185979"/>
    <n v="19625364"/>
    <n v="14386025.838000001"/>
    <n v="361439.69230769225"/>
    <n v="59"/>
    <n v="12429"/>
    <n v="11477"/>
  </r>
  <r>
    <d v="2020-05-26T00:00:00"/>
    <x v="0"/>
    <x v="12"/>
    <n v="244905"/>
    <n v="25163431.5"/>
    <n v="18210825.697000001"/>
    <n v="272401.2"/>
    <n v="59"/>
    <n v="15369"/>
    <n v="14299"/>
  </r>
  <r>
    <d v="2020-05-01T00:00:00"/>
    <x v="4"/>
    <x v="12"/>
    <n v="239409"/>
    <n v="25413351"/>
    <n v="18463277.771000002"/>
    <n v="369443.39999999997"/>
    <n v="59"/>
    <n v="15222"/>
    <n v="13873"/>
  </r>
  <r>
    <d v="2020-05-12T00:00:00"/>
    <x v="1"/>
    <x v="12"/>
    <n v="192886.5"/>
    <n v="19205179.5"/>
    <n v="13834210.461999999"/>
    <n v="383344.65076923074"/>
    <n v="60"/>
    <n v="12000"/>
    <n v="11194"/>
  </r>
  <r>
    <d v="2020-05-21T00:00:00"/>
    <x v="2"/>
    <x v="12"/>
    <n v="224233.5"/>
    <n v="22253295"/>
    <n v="16496134.313999999"/>
    <n v="334550.50769230764"/>
    <n v="60"/>
    <n v="14005"/>
    <n v="13002"/>
  </r>
  <r>
    <d v="2020-05-20T00:00:00"/>
    <x v="2"/>
    <x v="12"/>
    <n v="219622.5"/>
    <n v="21959286"/>
    <n v="15958453.927999999"/>
    <n v="417117.17692307686"/>
    <n v="60"/>
    <n v="13792"/>
    <n v="12834"/>
  </r>
  <r>
    <d v="2020-05-05T00:00:00"/>
    <x v="3"/>
    <x v="12"/>
    <n v="213582"/>
    <n v="21919435.5"/>
    <n v="15790923.194999998"/>
    <n v="365011.08061538462"/>
    <n v="59"/>
    <n v="13469"/>
    <n v="12486"/>
  </r>
  <r>
    <d v="2020-04-28T00:00:00"/>
    <x v="4"/>
    <x v="13"/>
    <n v="195705"/>
    <n v="20003263.5"/>
    <n v="14633542.982000001"/>
    <n v="268185.43076923076"/>
    <n v="54"/>
    <n v="12306"/>
    <n v="11532"/>
  </r>
  <r>
    <d v="2020-05-13T00:00:00"/>
    <x v="1"/>
    <x v="12"/>
    <n v="193722"/>
    <n v="19437273"/>
    <n v="13979092.230999999"/>
    <n v="418713.96153846156"/>
    <n v="60"/>
    <n v="12007"/>
    <n v="11245"/>
  </r>
  <r>
    <d v="2020-05-03T00:00:00"/>
    <x v="4"/>
    <x v="12"/>
    <n v="257215.5"/>
    <n v="26492278.5"/>
    <n v="19179229.932"/>
    <n v="254778.07384615383"/>
    <n v="59"/>
    <n v="15277"/>
    <n v="14163"/>
  </r>
  <r>
    <d v="2020-05-06T00:00:00"/>
    <x v="3"/>
    <x v="12"/>
    <n v="224779.5"/>
    <n v="23032992"/>
    <n v="16792969.817999996"/>
    <n v="443086.25303076918"/>
    <n v="59"/>
    <n v="14103"/>
    <n v="13118"/>
  </r>
  <r>
    <d v="2020-05-23T00:00:00"/>
    <x v="2"/>
    <x v="12"/>
    <n v="292018.5"/>
    <n v="28590910.5"/>
    <n v="21740920.338999998"/>
    <n v="206427.73076923075"/>
    <n v="60"/>
    <n v="17295"/>
    <n v="16010"/>
  </r>
  <r>
    <d v="2020-05-25T00:00:00"/>
    <x v="0"/>
    <x v="12"/>
    <n v="198751.5"/>
    <n v="20582743.5"/>
    <n v="14894008.652000001"/>
    <n v="316452.66153846157"/>
    <n v="59"/>
    <n v="12983"/>
    <n v="12056"/>
  </r>
  <r>
    <d v="2020-04-30T00:00:00"/>
    <x v="4"/>
    <x v="12"/>
    <n v="214386"/>
    <n v="22530000"/>
    <n v="16370527.077"/>
    <n v="115618.05384615384"/>
    <n v="59"/>
    <n v="13251"/>
    <n v="12255"/>
  </r>
  <r>
    <d v="2020-05-10T00:00:00"/>
    <x v="3"/>
    <x v="12"/>
    <n v="243825"/>
    <n v="24890404.5"/>
    <n v="18159589.107999999"/>
    <n v="258558.49999999997"/>
    <n v="59"/>
    <n v="14569"/>
    <n v="13566"/>
  </r>
  <r>
    <d v="2020-05-08T00:00:00"/>
    <x v="3"/>
    <x v="12"/>
    <n v="232701"/>
    <n v="23881948.5"/>
    <n v="17462223.403999999"/>
    <n v="512464.9846153846"/>
    <n v="59"/>
    <n v="14098"/>
    <n v="13106"/>
  </r>
  <r>
    <d v="2020-05-07T00:00:00"/>
    <x v="3"/>
    <x v="12"/>
    <n v="219411"/>
    <n v="22460130"/>
    <n v="16627687.641000001"/>
    <n v="518998.75384615385"/>
    <n v="59"/>
    <n v="13495"/>
    <n v="12517"/>
  </r>
  <r>
    <d v="2020-05-24T00:00:00"/>
    <x v="2"/>
    <x v="12"/>
    <n v="200029.5"/>
    <n v="19959801"/>
    <n v="15125624.641999999"/>
    <n v="318671.85465384612"/>
    <n v="60"/>
    <n v="12822"/>
    <n v="11916"/>
  </r>
  <r>
    <d v="2020-05-16T00:00:00"/>
    <x v="1"/>
    <x v="13"/>
    <n v="225480"/>
    <n v="22355338.5"/>
    <n v="16443448.491999999"/>
    <n v="291468.59999999998"/>
    <n v="54"/>
    <n v="13170"/>
    <n v="12299"/>
  </r>
  <r>
    <d v="2020-05-19T00:00:00"/>
    <x v="2"/>
    <x v="13"/>
    <n v="211453.5"/>
    <n v="20590072.5"/>
    <n v="15078027.685000001"/>
    <n v="293452.29237692308"/>
    <n v="54"/>
    <n v="13070"/>
    <n v="12244"/>
  </r>
  <r>
    <d v="2020-05-17T00:00:00"/>
    <x v="1"/>
    <x v="13"/>
    <n v="184801.5"/>
    <n v="18449091"/>
    <n v="13533023.127999999"/>
    <n v="246229.69714615386"/>
    <n v="54"/>
    <n v="11128"/>
    <n v="10467"/>
  </r>
  <r>
    <d v="2020-05-09T00:00:00"/>
    <x v="3"/>
    <x v="13"/>
    <n v="177976.5"/>
    <n v="18085798.5"/>
    <n v="13150397.668"/>
    <n v="444057.73347692302"/>
    <n v="54"/>
    <n v="11288"/>
    <n v="10492"/>
  </r>
  <r>
    <d v="2020-05-04T00:00:00"/>
    <x v="3"/>
    <x v="13"/>
    <n v="223617"/>
    <n v="22796827.5"/>
    <n v="16597666.014999999"/>
    <n v="404297.74615384609"/>
    <n v="54"/>
    <n v="13606"/>
    <n v="12697"/>
  </r>
  <r>
    <d v="2020-05-02T00:00:00"/>
    <x v="4"/>
    <x v="13"/>
    <n v="176397"/>
    <n v="18625921.5"/>
    <n v="13628439.163999999"/>
    <n v="370802.93846153846"/>
    <n v="54"/>
    <n v="11622"/>
    <n v="10754"/>
  </r>
  <r>
    <d v="2020-05-26T00:00:00"/>
    <x v="0"/>
    <x v="13"/>
    <n v="232369.5"/>
    <n v="23856345"/>
    <n v="17297352.185000002"/>
    <n v="279472.16153846151"/>
    <n v="54"/>
    <n v="14482"/>
    <n v="13510"/>
  </r>
  <r>
    <d v="2020-05-01T00:00:00"/>
    <x v="4"/>
    <x v="13"/>
    <n v="226540.5"/>
    <n v="23953536"/>
    <n v="17342946.796999998"/>
    <n v="380499.56092307693"/>
    <n v="54"/>
    <n v="14205"/>
    <n v="13026"/>
  </r>
  <r>
    <d v="2020-05-12T00:00:00"/>
    <x v="1"/>
    <x v="13"/>
    <n v="189679.5"/>
    <n v="18718036.5"/>
    <n v="13500671.991999999"/>
    <n v="344959.87384615385"/>
    <n v="54"/>
    <n v="11614"/>
    <n v="10862"/>
  </r>
  <r>
    <d v="2020-05-21T00:00:00"/>
    <x v="2"/>
    <x v="13"/>
    <n v="213640.5"/>
    <n v="21042673.5"/>
    <n v="15681371.557000002"/>
    <n v="296732.59615384613"/>
    <n v="54"/>
    <n v="13240"/>
    <n v="12360"/>
  </r>
  <r>
    <d v="2020-05-20T00:00:00"/>
    <x v="2"/>
    <x v="13"/>
    <n v="214885.5"/>
    <n v="21411349.5"/>
    <n v="15600701.422999999"/>
    <n v="410370.5153846154"/>
    <n v="54"/>
    <n v="13298"/>
    <n v="12428"/>
  </r>
  <r>
    <d v="2020-05-05T00:00:00"/>
    <x v="3"/>
    <x v="13"/>
    <n v="203832"/>
    <n v="20880142.5"/>
    <n v="15015521.489999998"/>
    <n v="398269.43076923076"/>
    <n v="54"/>
    <n v="12775"/>
    <n v="11887"/>
  </r>
  <r>
    <d v="2020-05-13T00:00:00"/>
    <x v="1"/>
    <x v="13"/>
    <n v="188662.5"/>
    <n v="18784000.5"/>
    <n v="13568684.673999999"/>
    <n v="349844.36153846153"/>
    <n v="54"/>
    <n v="11522"/>
    <n v="10803"/>
  </r>
  <r>
    <d v="2020-05-31T00:00:00"/>
    <x v="0"/>
    <x v="12"/>
    <n v="215277"/>
    <n v="21585316.5"/>
    <n v="16285354.714"/>
    <n v="183249.26153846155"/>
    <n v="59"/>
    <n v="13684"/>
    <n v="12690"/>
  </r>
  <r>
    <d v="2020-05-03T00:00:00"/>
    <x v="4"/>
    <x v="13"/>
    <n v="248148"/>
    <n v="25519072.5"/>
    <n v="18491870.614999998"/>
    <n v="270910.05384615384"/>
    <n v="54"/>
    <n v="14823"/>
    <n v="13751"/>
  </r>
  <r>
    <d v="2020-05-30T00:00:00"/>
    <x v="0"/>
    <x v="12"/>
    <n v="246414"/>
    <n v="24527245.5"/>
    <n v="18595804.535"/>
    <n v="282204.5230769231"/>
    <n v="59"/>
    <n v="15030"/>
    <n v="13956"/>
  </r>
  <r>
    <d v="2020-05-06T00:00:00"/>
    <x v="3"/>
    <x v="13"/>
    <n v="216498"/>
    <n v="22126444.5"/>
    <n v="16128268.832"/>
    <n v="389877.53846153844"/>
    <n v="54"/>
    <n v="13406"/>
    <n v="12518"/>
  </r>
  <r>
    <d v="2020-05-23T00:00:00"/>
    <x v="2"/>
    <x v="13"/>
    <n v="275793"/>
    <n v="26806626"/>
    <n v="20508194.544999998"/>
    <n v="239346.81538461536"/>
    <n v="54"/>
    <n v="16221"/>
    <n v="15065"/>
  </r>
  <r>
    <d v="2020-05-28T00:00:00"/>
    <x v="0"/>
    <x v="12"/>
    <n v="199753.5"/>
    <n v="20535733.5"/>
    <n v="15173462.744000001"/>
    <n v="257491.36923076925"/>
    <n v="60"/>
    <n v="12854"/>
    <n v="11954"/>
  </r>
  <r>
    <d v="2020-05-25T00:00:00"/>
    <x v="0"/>
    <x v="13"/>
    <n v="192948"/>
    <n v="19806927"/>
    <n v="14358653.389999999"/>
    <n v="319377.7946153846"/>
    <n v="54"/>
    <n v="12336"/>
    <n v="11519"/>
  </r>
  <r>
    <d v="2020-04-30T00:00:00"/>
    <x v="4"/>
    <x v="13"/>
    <n v="206038.5"/>
    <n v="21740460"/>
    <n v="15789926.042999998"/>
    <n v="115102.03846153845"/>
    <n v="54"/>
    <n v="12817"/>
    <n v="11865"/>
  </r>
  <r>
    <d v="2020-05-10T00:00:00"/>
    <x v="3"/>
    <x v="13"/>
    <n v="231559.5"/>
    <n v="23443725"/>
    <n v="17121204.866"/>
    <n v="269535.72538461542"/>
    <n v="54"/>
    <n v="13832"/>
    <n v="12864"/>
  </r>
  <r>
    <d v="2020-05-08T00:00:00"/>
    <x v="3"/>
    <x v="13"/>
    <n v="225076.5"/>
    <n v="22846078.5"/>
    <n v="16722171.227"/>
    <n v="479024.68461538455"/>
    <n v="54"/>
    <n v="13563"/>
    <n v="12604"/>
  </r>
  <r>
    <d v="2020-05-07T00:00:00"/>
    <x v="3"/>
    <x v="13"/>
    <n v="209415"/>
    <n v="21463023"/>
    <n v="15847839.739"/>
    <n v="521163.87692307692"/>
    <n v="54"/>
    <n v="12743"/>
    <n v="11858"/>
  </r>
  <r>
    <d v="2020-05-24T00:00:00"/>
    <x v="2"/>
    <x v="13"/>
    <n v="193719"/>
    <n v="19071117"/>
    <n v="14541424.877999999"/>
    <n v="304806.9854230769"/>
    <n v="54"/>
    <n v="12211"/>
    <n v="11427"/>
  </r>
  <r>
    <d v="2020-04-29T00:00:00"/>
    <x v="4"/>
    <x v="14"/>
    <n v="12250.5"/>
    <n v="981519"/>
    <n v="867080.68200000003"/>
    <n v="102160.21538461538"/>
    <n v="15"/>
    <n v="659"/>
    <n v="575"/>
  </r>
  <r>
    <d v="2020-04-28T00:00:00"/>
    <x v="4"/>
    <x v="14"/>
    <n v="12541.5"/>
    <n v="992541"/>
    <n v="874678.696"/>
    <n v="83886.676923076913"/>
    <n v="15"/>
    <n v="636"/>
    <n v="547"/>
  </r>
  <r>
    <d v="2020-05-31T00:00:00"/>
    <x v="0"/>
    <x v="13"/>
    <n v="206758.5"/>
    <n v="20717248.5"/>
    <n v="15667372.685999999"/>
    <n v="180007.08753846152"/>
    <n v="54"/>
    <n v="13106"/>
    <n v="12164"/>
  </r>
  <r>
    <d v="2020-05-30T00:00:00"/>
    <x v="0"/>
    <x v="13"/>
    <n v="244734"/>
    <n v="24151980"/>
    <n v="18429449.488000002"/>
    <n v="303444.36538461538"/>
    <n v="54"/>
    <n v="14590"/>
    <n v="13551"/>
  </r>
  <r>
    <d v="2020-05-28T00:00:00"/>
    <x v="0"/>
    <x v="13"/>
    <n v="191641.5"/>
    <n v="19549036.5"/>
    <n v="14481164.23"/>
    <n v="266079.27846153843"/>
    <n v="54"/>
    <n v="12409"/>
    <n v="11582"/>
  </r>
  <r>
    <d v="2020-05-16T00:00:00"/>
    <x v="1"/>
    <x v="14"/>
    <n v="16368"/>
    <n v="1316350.5"/>
    <n v="1092945.2830000001"/>
    <n v="175846.6446153846"/>
    <n v="16"/>
    <n v="920"/>
    <n v="818"/>
  </r>
  <r>
    <d v="2020-05-19T00:00:00"/>
    <x v="2"/>
    <x v="14"/>
    <n v="14427"/>
    <n v="1126810.5"/>
    <n v="963035.41399999999"/>
    <n v="202056.34519230769"/>
    <n v="17"/>
    <n v="857"/>
    <n v="757"/>
  </r>
  <r>
    <d v="2020-05-17T00:00:00"/>
    <x v="1"/>
    <x v="14"/>
    <n v="13440"/>
    <n v="1157529"/>
    <n v="935379.42299999984"/>
    <n v="111375.6648"/>
    <n v="16"/>
    <n v="859"/>
    <n v="746"/>
  </r>
  <r>
    <d v="2020-05-09T00:00:00"/>
    <x v="3"/>
    <x v="14"/>
    <n v="11745"/>
    <n v="955801.5"/>
    <n v="795942.652"/>
    <n v="165952.05877692305"/>
    <n v="15"/>
    <n v="654"/>
    <n v="570"/>
  </r>
  <r>
    <d v="2020-05-04T00:00:00"/>
    <x v="3"/>
    <x v="14"/>
    <n v="11062.5"/>
    <n v="906343.5"/>
    <n v="762082.74899999995"/>
    <n v="125305.56399230768"/>
    <n v="15"/>
    <n v="622"/>
    <n v="538"/>
  </r>
  <r>
    <d v="2020-05-02T00:00:00"/>
    <x v="4"/>
    <x v="14"/>
    <n v="10018.5"/>
    <n v="816859.5"/>
    <n v="697541.2969999999"/>
    <n v="106508.82307692307"/>
    <n v="15"/>
    <n v="567"/>
    <n v="493"/>
  </r>
  <r>
    <d v="2020-05-26T00:00:00"/>
    <x v="0"/>
    <x v="15"/>
    <n v="10437"/>
    <n v="833815.5"/>
    <n v="737888.36599999992"/>
    <n v="39424.853846153841"/>
    <n v="7"/>
    <n v="577"/>
    <n v="389"/>
  </r>
  <r>
    <d v="2020-05-01T00:00:00"/>
    <x v="4"/>
    <x v="14"/>
    <n v="13644"/>
    <n v="1134444"/>
    <n v="971710.87099999993"/>
    <n v="291527.8831384615"/>
    <n v="15"/>
    <n v="721"/>
    <n v="625"/>
  </r>
  <r>
    <d v="2020-05-12T00:00:00"/>
    <x v="1"/>
    <x v="14"/>
    <n v="13443"/>
    <n v="1092277.5"/>
    <n v="921493.48300000001"/>
    <n v="218151.6"/>
    <n v="15"/>
    <n v="750"/>
    <n v="659"/>
  </r>
  <r>
    <d v="2020-05-21T00:00:00"/>
    <x v="2"/>
    <x v="14"/>
    <n v="14182.5"/>
    <n v="1172574"/>
    <n v="968784.86499999987"/>
    <n v="94547"/>
    <n v="18"/>
    <n v="888"/>
    <n v="786"/>
  </r>
  <r>
    <d v="2020-05-20T00:00:00"/>
    <x v="2"/>
    <x v="14"/>
    <n v="14928"/>
    <n v="1217749.5"/>
    <n v="1025585.5199999999"/>
    <n v="84618.754369230766"/>
    <n v="17"/>
    <n v="890"/>
    <n v="794"/>
  </r>
  <r>
    <d v="2020-05-05T00:00:00"/>
    <x v="3"/>
    <x v="14"/>
    <n v="13941"/>
    <n v="1145575.5"/>
    <n v="974448.12600000005"/>
    <n v="152152.96544615386"/>
    <n v="15"/>
    <n v="750"/>
    <n v="658"/>
  </r>
  <r>
    <d v="2020-05-13T00:00:00"/>
    <x v="1"/>
    <x v="14"/>
    <n v="14643"/>
    <n v="1172691"/>
    <n v="971555.08299999998"/>
    <n v="124018.33614615384"/>
    <n v="15"/>
    <n v="854"/>
    <n v="756"/>
  </r>
  <r>
    <d v="2020-05-03T00:00:00"/>
    <x v="4"/>
    <x v="14"/>
    <n v="10032"/>
    <n v="816150"/>
    <n v="698626.03299999994"/>
    <n v="97812.892307692295"/>
    <n v="15"/>
    <n v="585"/>
    <n v="502"/>
  </r>
  <r>
    <d v="2020-05-06T00:00:00"/>
    <x v="3"/>
    <x v="14"/>
    <n v="12468"/>
    <n v="1016566.5"/>
    <n v="858367.60399999993"/>
    <n v="88833.638169230762"/>
    <n v="15"/>
    <n v="701"/>
    <n v="611"/>
  </r>
  <r>
    <d v="2020-05-23T00:00:00"/>
    <x v="2"/>
    <x v="14"/>
    <n v="17943"/>
    <n v="1457391"/>
    <n v="1194154.7659999998"/>
    <n v="124621.03076923077"/>
    <n v="18"/>
    <n v="1031"/>
    <n v="918"/>
  </r>
  <r>
    <d v="2020-05-25T00:00:00"/>
    <x v="0"/>
    <x v="14"/>
    <n v="15807"/>
    <n v="1326705"/>
    <n v="1070563.6439999999"/>
    <n v="123343.24153846155"/>
    <n v="18"/>
    <n v="989"/>
    <n v="887"/>
  </r>
  <r>
    <d v="2020-04-30T00:00:00"/>
    <x v="4"/>
    <x v="14"/>
    <n v="11976"/>
    <n v="1004511"/>
    <n v="861334.61399999994"/>
    <n v="20847.353846153845"/>
    <n v="15"/>
    <n v="644"/>
    <n v="550"/>
  </r>
  <r>
    <d v="2020-05-10T00:00:00"/>
    <x v="3"/>
    <x v="14"/>
    <n v="14566.5"/>
    <n v="1216557"/>
    <n v="1013050.3829999999"/>
    <n v="102510.40189230769"/>
    <n v="15"/>
    <n v="792"/>
    <n v="695"/>
  </r>
  <r>
    <d v="2020-05-08T00:00:00"/>
    <x v="3"/>
    <x v="14"/>
    <n v="12976.5"/>
    <n v="1046848.5"/>
    <n v="892743.74599999993"/>
    <n v="396844.24095384614"/>
    <n v="15"/>
    <n v="703"/>
    <n v="609"/>
  </r>
  <r>
    <d v="2020-05-07T00:00:00"/>
    <x v="3"/>
    <x v="14"/>
    <n v="11719.5"/>
    <n v="965880"/>
    <n v="809986.38600000006"/>
    <n v="106745.03623846154"/>
    <n v="15"/>
    <n v="676"/>
    <n v="591"/>
  </r>
  <r>
    <d v="2020-05-24T00:00:00"/>
    <x v="2"/>
    <x v="14"/>
    <n v="17197.5"/>
    <n v="1386262.5"/>
    <n v="1130117.3810000001"/>
    <n v="121581.84923076924"/>
    <n v="18"/>
    <n v="1006"/>
    <n v="904"/>
  </r>
  <r>
    <d v="2020-05-26T00:00:00"/>
    <x v="0"/>
    <x v="14"/>
    <n v="14419.5"/>
    <n v="1210456.5"/>
    <n v="970917.12399999995"/>
    <n v="88147.13846153846"/>
    <n v="18"/>
    <n v="914"/>
    <n v="804"/>
  </r>
  <r>
    <d v="2020-06-01T00:00:00"/>
    <x v="5"/>
    <x v="0"/>
    <n v="7816.5"/>
    <n v="636345"/>
    <n v="550528.66300000006"/>
    <n v="190344.3008"/>
    <n v="15"/>
    <n v="453"/>
    <n v="370"/>
  </r>
  <r>
    <d v="2020-05-31T00:00:00"/>
    <x v="0"/>
    <x v="16"/>
    <n v="6409.5"/>
    <n v="493893"/>
    <n v="459762.61999999994"/>
    <n v="28040.97692307692"/>
    <n v="9"/>
    <n v="345"/>
    <n v="255"/>
  </r>
  <r>
    <d v="2020-05-30T00:00:00"/>
    <x v="0"/>
    <x v="15"/>
    <n v="11220"/>
    <n v="928675.5"/>
    <n v="802403.80799999996"/>
    <n v="136423.60523076923"/>
    <n v="7"/>
    <n v="532"/>
    <n v="449"/>
  </r>
  <r>
    <d v="2020-05-29T00:00:00"/>
    <x v="0"/>
    <x v="0"/>
    <n v="8350.5"/>
    <n v="651237"/>
    <n v="601485.12600000005"/>
    <n v="83014.635053846156"/>
    <n v="15"/>
    <n v="400"/>
    <n v="329"/>
  </r>
  <r>
    <d v="2020-05-28T00:00:00"/>
    <x v="0"/>
    <x v="15"/>
    <n v="8428.5"/>
    <n v="694669.5"/>
    <n v="594994.696"/>
    <n v="42699.38461538461"/>
    <n v="7"/>
    <n v="420"/>
    <n v="347"/>
  </r>
  <r>
    <d v="2020-05-27T00:00:00"/>
    <x v="0"/>
    <x v="1"/>
    <n v="32817"/>
    <n v="3015751.5"/>
    <n v="2415980.7719999999"/>
    <n v="346048.63569230767"/>
    <n v="20"/>
    <n v="2079"/>
    <n v="1893"/>
  </r>
  <r>
    <d v="2020-05-22T00:00:00"/>
    <x v="2"/>
    <x v="1"/>
    <n v="36031.5"/>
    <n v="3091069.5"/>
    <n v="2549333.4129999997"/>
    <n v="289900.09384615382"/>
    <n v="21"/>
    <n v="2046"/>
    <n v="1853"/>
  </r>
  <r>
    <d v="2020-05-31T00:00:00"/>
    <x v="0"/>
    <x v="17"/>
    <n v="5127"/>
    <n v="468835.5"/>
    <n v="412625.88699999999"/>
    <n v="8642.376923076923"/>
    <n v="6"/>
    <n v="261"/>
    <n v="188"/>
  </r>
  <r>
    <d v="2020-05-11T00:00:00"/>
    <x v="1"/>
    <x v="1"/>
    <n v="27187.5"/>
    <n v="2479396.5"/>
    <n v="1950422.9030000002"/>
    <n v="381635.95355384616"/>
    <n v="21"/>
    <n v="1597"/>
    <n v="1457"/>
  </r>
  <r>
    <d v="2020-05-30T00:00:00"/>
    <x v="0"/>
    <x v="14"/>
    <n v="20688"/>
    <n v="1773154.5"/>
    <n v="1458979.4909999999"/>
    <n v="98432.213407692296"/>
    <n v="18"/>
    <n v="1216"/>
    <n v="1101"/>
  </r>
  <r>
    <d v="2020-05-28T00:00:00"/>
    <x v="0"/>
    <x v="14"/>
    <n v="15678"/>
    <n v="1387443"/>
    <n v="1121336.507"/>
    <n v="101620.2923076923"/>
    <n v="18"/>
    <n v="1020"/>
    <n v="911"/>
  </r>
  <r>
    <d v="2020-05-18T00:00:00"/>
    <x v="2"/>
    <x v="1"/>
    <n v="31329"/>
    <n v="2826379.5"/>
    <n v="2229453.5079999999"/>
    <n v="331756.18072307692"/>
    <n v="21"/>
    <n v="1834"/>
    <n v="1660"/>
  </r>
  <r>
    <d v="2020-05-14T00:00:00"/>
    <x v="1"/>
    <x v="1"/>
    <n v="29658"/>
    <n v="2703132"/>
    <n v="2160539.9959999998"/>
    <n v="312856.16153846151"/>
    <n v="21"/>
    <n v="1706"/>
    <n v="1548"/>
  </r>
  <r>
    <d v="2020-05-15T00:00:00"/>
    <x v="1"/>
    <x v="1"/>
    <n v="34150.5"/>
    <n v="3038293.5"/>
    <n v="2442084.5610000002"/>
    <n v="277257.14947692305"/>
    <n v="21"/>
    <n v="1926"/>
    <n v="1742"/>
  </r>
  <r>
    <d v="2020-06-01T00:00:00"/>
    <x v="5"/>
    <x v="1"/>
    <n v="31947"/>
    <n v="2945035.5"/>
    <n v="2320195.4450000003"/>
    <n v="383761.6669230769"/>
    <n v="21"/>
    <n v="2025"/>
    <n v="1849"/>
  </r>
  <r>
    <d v="2020-05-31T00:00:00"/>
    <x v="0"/>
    <x v="15"/>
    <n v="10416"/>
    <n v="866023.5"/>
    <n v="744833.00199999998"/>
    <n v="19998.63846153846"/>
    <n v="7"/>
    <n v="530"/>
    <n v="447"/>
  </r>
  <r>
    <d v="2020-05-29T00:00:00"/>
    <x v="0"/>
    <x v="1"/>
    <n v="35431.5"/>
    <n v="3193167"/>
    <n v="2545757.0549999997"/>
    <n v="202281.06923076924"/>
    <n v="20"/>
    <n v="2111"/>
    <n v="1917"/>
  </r>
  <r>
    <d v="2020-05-27T00:00:00"/>
    <x v="0"/>
    <x v="2"/>
    <n v="78544.5"/>
    <n v="6701083.5"/>
    <n v="5109499.6169999996"/>
    <n v="76226.26923076922"/>
    <n v="31"/>
    <n v="5330"/>
    <n v="4977"/>
  </r>
  <r>
    <d v="2020-05-22T00:00:00"/>
    <x v="2"/>
    <x v="2"/>
    <n v="97963.5"/>
    <n v="7728465"/>
    <n v="6415904.9240000006"/>
    <n v="150138.82307692309"/>
    <n v="31"/>
    <n v="5965"/>
    <n v="5533"/>
  </r>
  <r>
    <d v="2020-06-01T00:00:00"/>
    <x v="5"/>
    <x v="2"/>
    <n v="77269.5"/>
    <n v="6829921.5"/>
    <n v="5152925.182"/>
    <n v="219200.11557692307"/>
    <n v="31"/>
    <n v="5468"/>
    <n v="5081"/>
  </r>
  <r>
    <d v="2020-05-31T00:00:00"/>
    <x v="0"/>
    <x v="14"/>
    <n v="16143"/>
    <n v="1423410"/>
    <n v="1183524.9380000001"/>
    <n v="41938.950392307692"/>
    <n v="18"/>
    <n v="1029"/>
    <n v="925"/>
  </r>
  <r>
    <d v="2020-05-11T00:00:00"/>
    <x v="1"/>
    <x v="2"/>
    <n v="72220.5"/>
    <n v="6398719.5"/>
    <n v="4782829.6060000006"/>
    <n v="186502.14615384614"/>
    <n v="31"/>
    <n v="4826"/>
    <n v="4483"/>
  </r>
  <r>
    <d v="2020-05-18T00:00:00"/>
    <x v="2"/>
    <x v="2"/>
    <n v="78058.5"/>
    <n v="6609714"/>
    <n v="5024858.7929999996"/>
    <n v="140406.07692307691"/>
    <n v="31"/>
    <n v="5165"/>
    <n v="4813"/>
  </r>
  <r>
    <d v="2020-05-14T00:00:00"/>
    <x v="1"/>
    <x v="2"/>
    <n v="70498.5"/>
    <n v="6053649"/>
    <n v="4580254.1549999993"/>
    <n v="131801.93944615382"/>
    <n v="31"/>
    <n v="4695"/>
    <n v="4372"/>
  </r>
  <r>
    <d v="2020-05-15T00:00:00"/>
    <x v="1"/>
    <x v="2"/>
    <n v="78961.5"/>
    <n v="6876454.5"/>
    <n v="5258162.2879999997"/>
    <n v="162133.18461538461"/>
    <n v="31"/>
    <n v="5184"/>
    <n v="4778"/>
  </r>
  <r>
    <d v="2020-05-27T00:00:00"/>
    <x v="0"/>
    <x v="3"/>
    <n v="12490.5"/>
    <n v="1054798.5"/>
    <n v="878389.06499999994"/>
    <n v="67454.765369230765"/>
    <n v="10"/>
    <n v="757"/>
    <n v="660"/>
  </r>
  <r>
    <d v="2020-05-22T00:00:00"/>
    <x v="2"/>
    <x v="3"/>
    <n v="18036"/>
    <n v="1455049.5"/>
    <n v="1301439.284"/>
    <n v="69189.123076923075"/>
    <n v="10"/>
    <n v="965"/>
    <n v="861"/>
  </r>
  <r>
    <d v="2020-06-01T00:00:00"/>
    <x v="5"/>
    <x v="3"/>
    <n v="11416.5"/>
    <n v="1007742"/>
    <n v="815296.88"/>
    <n v="145147.84546153847"/>
    <n v="10"/>
    <n v="719"/>
    <n v="627"/>
  </r>
  <r>
    <d v="2020-05-11T00:00:00"/>
    <x v="1"/>
    <x v="3"/>
    <n v="9007.5"/>
    <n v="734335.5"/>
    <n v="622482.40399999998"/>
    <n v="113093.66153846154"/>
    <n v="10"/>
    <n v="494"/>
    <n v="421"/>
  </r>
  <r>
    <d v="2020-05-29T00:00:00"/>
    <x v="0"/>
    <x v="2"/>
    <n v="87552"/>
    <n v="7387116"/>
    <n v="5815890.3319999995"/>
    <n v="161811.89230769229"/>
    <n v="31"/>
    <n v="5751"/>
    <n v="5319"/>
  </r>
  <r>
    <d v="2020-05-18T00:00:00"/>
    <x v="2"/>
    <x v="3"/>
    <n v="11680.5"/>
    <n v="936427.5"/>
    <n v="813406.68400000001"/>
    <n v="117272.7846153846"/>
    <n v="10"/>
    <n v="645"/>
    <n v="565"/>
  </r>
  <r>
    <d v="2020-05-14T00:00:00"/>
    <x v="1"/>
    <x v="3"/>
    <n v="12037.5"/>
    <n v="981564"/>
    <n v="877726.201"/>
    <n v="69249.011815384612"/>
    <n v="10"/>
    <n v="627"/>
    <n v="545"/>
  </r>
  <r>
    <d v="2020-05-15T00:00:00"/>
    <x v="1"/>
    <x v="3"/>
    <n v="14421"/>
    <n v="1150579.5"/>
    <n v="1038033.7869999999"/>
    <n v="68487.358569230768"/>
    <n v="10"/>
    <n v="743"/>
    <n v="652"/>
  </r>
  <r>
    <d v="2020-05-29T00:00:00"/>
    <x v="0"/>
    <x v="3"/>
    <n v="14823"/>
    <n v="1273464"/>
    <n v="1068326.9369999999"/>
    <n v="76299.023384615386"/>
    <n v="10"/>
    <n v="873"/>
    <n v="770"/>
  </r>
  <r>
    <d v="2020-05-27T00:00:00"/>
    <x v="0"/>
    <x v="4"/>
    <n v="31257"/>
    <n v="2924133"/>
    <n v="2311405.017"/>
    <n v="148582.33846153846"/>
    <n v="20"/>
    <n v="2079"/>
    <n v="1856"/>
  </r>
  <r>
    <d v="2020-05-22T00:00:00"/>
    <x v="2"/>
    <x v="4"/>
    <n v="38074.5"/>
    <n v="3414180"/>
    <n v="2805831.5209999997"/>
    <n v="124540.74078461538"/>
    <n v="20"/>
    <n v="2306"/>
    <n v="2054"/>
  </r>
  <r>
    <d v="2020-06-01T00:00:00"/>
    <x v="5"/>
    <x v="4"/>
    <n v="32170.5"/>
    <n v="3013512"/>
    <n v="2355616.679"/>
    <n v="219429.2774153846"/>
    <n v="20"/>
    <n v="2136"/>
    <n v="1899"/>
  </r>
  <r>
    <d v="2020-05-11T00:00:00"/>
    <x v="1"/>
    <x v="4"/>
    <n v="42397.5"/>
    <n v="3911979"/>
    <n v="3086459.8370000003"/>
    <n v="164514.63076923075"/>
    <n v="19"/>
    <n v="2530"/>
    <n v="2270"/>
  </r>
  <r>
    <d v="2020-05-18T00:00:00"/>
    <x v="2"/>
    <x v="4"/>
    <n v="28668"/>
    <n v="2588148"/>
    <n v="2042294.1669999999"/>
    <n v="160977.42935384615"/>
    <n v="19"/>
    <n v="1858"/>
    <n v="1648"/>
  </r>
  <r>
    <d v="2020-05-14T00:00:00"/>
    <x v="1"/>
    <x v="4"/>
    <n v="27411"/>
    <n v="2441520"/>
    <n v="1933378.3459999997"/>
    <n v="141658.27661538462"/>
    <n v="19"/>
    <n v="1675"/>
    <n v="1475"/>
  </r>
  <r>
    <d v="2020-05-15T00:00:00"/>
    <x v="1"/>
    <x v="4"/>
    <n v="32854.5"/>
    <n v="2949078"/>
    <n v="2391958.463"/>
    <n v="129383.86666153846"/>
    <n v="19"/>
    <n v="1940"/>
    <n v="1715"/>
  </r>
  <r>
    <d v="2020-05-29T00:00:00"/>
    <x v="0"/>
    <x v="4"/>
    <n v="35346"/>
    <n v="3258054"/>
    <n v="2595610.66"/>
    <n v="195198.78461538462"/>
    <n v="20"/>
    <n v="2249"/>
    <n v="2000"/>
  </r>
  <r>
    <d v="2020-05-27T00:00:00"/>
    <x v="0"/>
    <x v="5"/>
    <n v="286558.5"/>
    <n v="29256993"/>
    <n v="21169527.457000002"/>
    <n v="646741.28130000003"/>
    <n v="129"/>
    <n v="17115"/>
    <n v="15962"/>
  </r>
  <r>
    <d v="2020-05-22T00:00:00"/>
    <x v="2"/>
    <x v="5"/>
    <n v="304092"/>
    <n v="29465769"/>
    <n v="22276452.264999997"/>
    <n v="570447.6369538462"/>
    <n v="129"/>
    <n v="17088"/>
    <n v="15804"/>
  </r>
  <r>
    <d v="2020-06-01T00:00:00"/>
    <x v="5"/>
    <x v="5"/>
    <n v="272926.5"/>
    <n v="27770092.5"/>
    <n v="20952913.508000001"/>
    <n v="872904.40428461542"/>
    <n v="128"/>
    <n v="16285"/>
    <n v="15130"/>
  </r>
  <r>
    <d v="2020-05-11T00:00:00"/>
    <x v="1"/>
    <x v="5"/>
    <n v="237099"/>
    <n v="24628233.223949999"/>
    <n v="17679930.469999999"/>
    <n v="622499.33031538466"/>
    <n v="129"/>
    <n v="14043"/>
    <n v="13167"/>
  </r>
  <r>
    <d v="2020-05-18T00:00:00"/>
    <x v="2"/>
    <x v="5"/>
    <n v="273900"/>
    <n v="27535284.147600003"/>
    <n v="19680985.969000001"/>
    <n v="764540.58792307694"/>
    <n v="129"/>
    <n v="16110"/>
    <n v="14992"/>
  </r>
  <r>
    <d v="2020-05-14T00:00:00"/>
    <x v="1"/>
    <x v="5"/>
    <n v="274059"/>
    <n v="28181292"/>
    <n v="20493717.226"/>
    <n v="806120.19333076919"/>
    <n v="129"/>
    <n v="15804"/>
    <n v="14738"/>
  </r>
  <r>
    <d v="2020-05-15T00:00:00"/>
    <x v="1"/>
    <x v="5"/>
    <n v="318816"/>
    <n v="32354331"/>
    <n v="23895072.432"/>
    <n v="616932.92353846144"/>
    <n v="129"/>
    <n v="17808"/>
    <n v="16486"/>
  </r>
  <r>
    <d v="2020-05-27T00:00:00"/>
    <x v="0"/>
    <x v="6"/>
    <n v="370012.5"/>
    <n v="39034861.5"/>
    <n v="28040467.216000002"/>
    <n v="681486.56664615381"/>
    <n v="124"/>
    <n v="21384"/>
    <n v="19897"/>
  </r>
  <r>
    <d v="2020-05-22T00:00:00"/>
    <x v="2"/>
    <x v="6"/>
    <n v="393018"/>
    <n v="39498373.5"/>
    <n v="29683782.432999995"/>
    <n v="636230.32011538453"/>
    <n v="125"/>
    <n v="21427"/>
    <n v="19799"/>
  </r>
  <r>
    <d v="2020-06-01T00:00:00"/>
    <x v="5"/>
    <x v="6"/>
    <n v="349699.5"/>
    <n v="37257840.18135"/>
    <n v="27640203.134"/>
    <n v="744856.58547692304"/>
    <n v="123"/>
    <n v="20325"/>
    <n v="18935"/>
  </r>
  <r>
    <d v="2020-05-11T00:00:00"/>
    <x v="1"/>
    <x v="6"/>
    <n v="318565.5"/>
    <n v="33781581"/>
    <n v="24232690.171"/>
    <n v="605833.76570769225"/>
    <n v="125"/>
    <n v="18066"/>
    <n v="16883"/>
  </r>
  <r>
    <d v="2020-05-29T00:00:00"/>
    <x v="0"/>
    <x v="5"/>
    <n v="422965.5"/>
    <n v="41767140.105000004"/>
    <n v="32361318.846999999"/>
    <n v="525087.91538461542"/>
    <n v="129"/>
    <n v="22403"/>
    <n v="20676"/>
  </r>
  <r>
    <d v="2020-05-18T00:00:00"/>
    <x v="2"/>
    <x v="6"/>
    <n v="355081.5"/>
    <n v="36876888"/>
    <n v="26228948.559"/>
    <n v="898617.75030769221"/>
    <n v="125"/>
    <n v="20449"/>
    <n v="19060"/>
  </r>
  <r>
    <d v="2020-05-14T00:00:00"/>
    <x v="1"/>
    <x v="6"/>
    <n v="358387.5"/>
    <n v="37963150.5"/>
    <n v="27483828.208999999"/>
    <n v="506964.83088461537"/>
    <n v="125"/>
    <n v="20247"/>
    <n v="18812"/>
  </r>
  <r>
    <d v="2020-05-15T00:00:00"/>
    <x v="1"/>
    <x v="6"/>
    <n v="403261.5"/>
    <n v="42271377"/>
    <n v="31105053.390999999"/>
    <n v="571050.76427692303"/>
    <n v="125"/>
    <n v="21862"/>
    <n v="20235"/>
  </r>
  <r>
    <d v="2020-05-27T00:00:00"/>
    <x v="0"/>
    <x v="7"/>
    <n v="69010.5"/>
    <n v="5985894"/>
    <n v="4624968.49"/>
    <n v="168769.33384615384"/>
    <n v="36"/>
    <n v="4951"/>
    <n v="4584"/>
  </r>
  <r>
    <d v="2020-05-22T00:00:00"/>
    <x v="2"/>
    <x v="7"/>
    <n v="75820.5"/>
    <n v="5943489"/>
    <n v="5046963.6720000003"/>
    <n v="196334.07284615384"/>
    <n v="36"/>
    <n v="4857"/>
    <n v="4456"/>
  </r>
  <r>
    <d v="2020-06-01T00:00:00"/>
    <x v="5"/>
    <x v="7"/>
    <n v="64740"/>
    <n v="5800290"/>
    <n v="4332158.4330000002"/>
    <n v="205428.24997692305"/>
    <n v="37"/>
    <n v="4722"/>
    <n v="4352"/>
  </r>
  <r>
    <d v="2020-05-11T00:00:00"/>
    <x v="1"/>
    <x v="7"/>
    <n v="59574"/>
    <n v="5178169.5"/>
    <n v="3929032.2650000001"/>
    <n v="208822.33076923079"/>
    <n v="36"/>
    <n v="4150"/>
    <n v="3838"/>
  </r>
  <r>
    <d v="2020-05-29T00:00:00"/>
    <x v="0"/>
    <x v="6"/>
    <n v="524481"/>
    <n v="54172029"/>
    <n v="41382275.210999995"/>
    <n v="512623.0388076923"/>
    <n v="124"/>
    <n v="25828"/>
    <n v="23974"/>
  </r>
  <r>
    <d v="2020-05-18T00:00:00"/>
    <x v="2"/>
    <x v="7"/>
    <n v="70278"/>
    <n v="5798476.5"/>
    <n v="4485664.5060000001"/>
    <n v="182019.63597692308"/>
    <n v="36"/>
    <n v="4885"/>
    <n v="4502"/>
  </r>
  <r>
    <d v="2020-05-14T00:00:00"/>
    <x v="1"/>
    <x v="7"/>
    <n v="63645"/>
    <n v="5366602.5"/>
    <n v="4245727.3389999997"/>
    <n v="137701.4149"/>
    <n v="36"/>
    <n v="4285"/>
    <n v="3950"/>
  </r>
  <r>
    <d v="2020-05-15T00:00:00"/>
    <x v="1"/>
    <x v="7"/>
    <n v="75642"/>
    <n v="6293952"/>
    <n v="5100877.9309999999"/>
    <n v="159537.61835384613"/>
    <n v="36"/>
    <n v="4862"/>
    <n v="4476"/>
  </r>
  <r>
    <d v="2020-05-27T00:00:00"/>
    <x v="0"/>
    <x v="8"/>
    <n v="40420.5"/>
    <n v="3780852"/>
    <n v="2893288.4459999995"/>
    <n v="291528.45785384614"/>
    <n v="21"/>
    <n v="2430"/>
    <n v="2216"/>
  </r>
  <r>
    <d v="2020-05-22T00:00:00"/>
    <x v="2"/>
    <x v="8"/>
    <n v="53838"/>
    <n v="4840833"/>
    <n v="4017247.747"/>
    <n v="147709.19777692307"/>
    <n v="21"/>
    <n v="2861"/>
    <n v="2612"/>
  </r>
  <r>
    <d v="2020-06-01T00:00:00"/>
    <x v="5"/>
    <x v="8"/>
    <n v="40528.5"/>
    <n v="3865251"/>
    <n v="2972895.4169999999"/>
    <n v="336001.08039230772"/>
    <n v="23"/>
    <n v="2531"/>
    <n v="2296"/>
  </r>
  <r>
    <d v="2020-05-11T00:00:00"/>
    <x v="1"/>
    <x v="8"/>
    <n v="32733"/>
    <n v="3079630.5"/>
    <n v="2364369.4010000001"/>
    <n v="281373.57021538459"/>
    <n v="21"/>
    <n v="1916"/>
    <n v="1733"/>
  </r>
  <r>
    <d v="2020-05-29T00:00:00"/>
    <x v="0"/>
    <x v="7"/>
    <n v="84433.5"/>
    <n v="7228395"/>
    <n v="5795765.9359999998"/>
    <n v="264121.66047692305"/>
    <n v="37"/>
    <n v="5672"/>
    <n v="5198"/>
  </r>
  <r>
    <d v="2020-05-18T00:00:00"/>
    <x v="2"/>
    <x v="8"/>
    <n v="36655.5"/>
    <n v="3360135"/>
    <n v="2596293.8219999997"/>
    <n v="202175.53846153847"/>
    <n v="21"/>
    <n v="2136"/>
    <n v="1947"/>
  </r>
  <r>
    <d v="2020-05-14T00:00:00"/>
    <x v="1"/>
    <x v="8"/>
    <n v="33886.5"/>
    <n v="3166479"/>
    <n v="2522496.074"/>
    <n v="156584.58769230769"/>
    <n v="21"/>
    <n v="1993"/>
    <n v="1796"/>
  </r>
  <r>
    <d v="2020-05-15T00:00:00"/>
    <x v="1"/>
    <x v="8"/>
    <n v="41697"/>
    <n v="3772258.5"/>
    <n v="3092823.6680000001"/>
    <n v="167669.98904615385"/>
    <n v="21"/>
    <n v="2255"/>
    <n v="2045"/>
  </r>
  <r>
    <d v="2020-05-29T00:00:00"/>
    <x v="0"/>
    <x v="8"/>
    <n v="44569.5"/>
    <n v="4108596"/>
    <n v="3229427.0830000001"/>
    <n v="121448.35925384614"/>
    <n v="22"/>
    <n v="2597"/>
    <n v="2379"/>
  </r>
  <r>
    <d v="2020-05-27T00:00:00"/>
    <x v="0"/>
    <x v="9"/>
    <n v="18069"/>
    <n v="1603084.5"/>
    <n v="1312709.0090000001"/>
    <n v="241760.20769230771"/>
    <n v="17"/>
    <n v="1203"/>
    <n v="1077"/>
  </r>
  <r>
    <d v="2020-05-22T00:00:00"/>
    <x v="2"/>
    <x v="9"/>
    <n v="21483"/>
    <n v="1774329"/>
    <n v="1460215.51"/>
    <n v="181509.9923076923"/>
    <n v="17"/>
    <n v="1268"/>
    <n v="1129"/>
  </r>
  <r>
    <d v="2020-06-01T00:00:00"/>
    <x v="5"/>
    <x v="9"/>
    <n v="16687.5"/>
    <n v="1526608.5"/>
    <n v="1202670.0489999999"/>
    <n v="340349.53369230771"/>
    <n v="17"/>
    <n v="1185"/>
    <n v="1042"/>
  </r>
  <r>
    <d v="2020-05-11T00:00:00"/>
    <x v="1"/>
    <x v="9"/>
    <n v="12238.5"/>
    <n v="1096002"/>
    <n v="872395.08600000001"/>
    <n v="218895.40769230769"/>
    <n v="15"/>
    <n v="812"/>
    <n v="714"/>
  </r>
  <r>
    <d v="2020-05-18T00:00:00"/>
    <x v="2"/>
    <x v="9"/>
    <n v="14290.5"/>
    <n v="1246162.5"/>
    <n v="983143.48999999987"/>
    <n v="263823.34615384613"/>
    <n v="16"/>
    <n v="925"/>
    <n v="816"/>
  </r>
  <r>
    <d v="2020-05-14T00:00:00"/>
    <x v="1"/>
    <x v="9"/>
    <n v="14385"/>
    <n v="1223491.5"/>
    <n v="977925.73100000003"/>
    <n v="285708.40769230766"/>
    <n v="15"/>
    <n v="890"/>
    <n v="777"/>
  </r>
  <r>
    <d v="2020-05-15T00:00:00"/>
    <x v="1"/>
    <x v="9"/>
    <n v="16498.5"/>
    <n v="1370482.5"/>
    <n v="1095453.1229999999"/>
    <n v="250663.81538461539"/>
    <n v="15"/>
    <n v="980"/>
    <n v="867"/>
  </r>
  <r>
    <d v="2020-05-27T00:00:00"/>
    <x v="0"/>
    <x v="10"/>
    <n v="13203"/>
    <n v="1211457"/>
    <n v="964554.21099999989"/>
    <n v="156117.80846153846"/>
    <n v="15"/>
    <n v="809"/>
    <n v="702"/>
  </r>
  <r>
    <d v="2020-05-22T00:00:00"/>
    <x v="2"/>
    <x v="10"/>
    <n v="15802.5"/>
    <n v="1411909.5"/>
    <n v="1158841.584"/>
    <n v="186035.59738461539"/>
    <n v="15"/>
    <n v="903"/>
    <n v="792"/>
  </r>
  <r>
    <d v="2020-06-01T00:00:00"/>
    <x v="5"/>
    <x v="10"/>
    <n v="16476"/>
    <n v="1565632.5"/>
    <n v="1234060.9909999999"/>
    <n v="194827.87672307692"/>
    <n v="16"/>
    <n v="1019"/>
    <n v="895"/>
  </r>
  <r>
    <d v="2020-05-11T00:00:00"/>
    <x v="1"/>
    <x v="10"/>
    <n v="12654"/>
    <n v="1081158"/>
    <n v="927698.82299999986"/>
    <n v="197299.08136923076"/>
    <n v="15"/>
    <n v="684"/>
    <n v="585"/>
  </r>
  <r>
    <d v="2020-05-29T00:00:00"/>
    <x v="0"/>
    <x v="9"/>
    <n v="19647"/>
    <n v="1764669"/>
    <n v="1409485.402"/>
    <n v="182377.32307692306"/>
    <n v="17"/>
    <n v="1296"/>
    <n v="1153"/>
  </r>
  <r>
    <d v="2020-05-18T00:00:00"/>
    <x v="2"/>
    <x v="10"/>
    <n v="12450"/>
    <n v="1115146.5"/>
    <n v="897555.51099999994"/>
    <n v="150809.61403846153"/>
    <n v="15"/>
    <n v="729"/>
    <n v="636"/>
  </r>
  <r>
    <d v="2020-05-14T00:00:00"/>
    <x v="1"/>
    <x v="10"/>
    <n v="11161.5"/>
    <n v="963502.5"/>
    <n v="812962.67800000007"/>
    <n v="193118.32307692309"/>
    <n v="15"/>
    <n v="638"/>
    <n v="548"/>
  </r>
  <r>
    <d v="2020-05-15T00:00:00"/>
    <x v="1"/>
    <x v="10"/>
    <n v="12229.5"/>
    <n v="1122730.5"/>
    <n v="921566.44700000004"/>
    <n v="147588"/>
    <n v="15"/>
    <n v="688"/>
    <n v="598"/>
  </r>
  <r>
    <d v="2020-05-27T00:00:00"/>
    <x v="0"/>
    <x v="11"/>
    <n v="28050"/>
    <n v="2458555.5"/>
    <n v="1979227.4479999999"/>
    <n v="122940.53466153846"/>
    <n v="20"/>
    <n v="1873"/>
    <n v="1715"/>
  </r>
  <r>
    <d v="2020-05-22T00:00:00"/>
    <x v="2"/>
    <x v="11"/>
    <n v="30781.5"/>
    <n v="2540715"/>
    <n v="2108065.5690000001"/>
    <n v="90381.169230769228"/>
    <n v="19"/>
    <n v="1859"/>
    <n v="1697"/>
  </r>
  <r>
    <d v="2020-06-01T00:00:00"/>
    <x v="5"/>
    <x v="11"/>
    <n v="27960"/>
    <n v="2538967.5"/>
    <n v="1983277.5959999997"/>
    <n v="134168.53587692307"/>
    <n v="21"/>
    <n v="1879"/>
    <n v="1720"/>
  </r>
  <r>
    <d v="2020-05-11T00:00:00"/>
    <x v="1"/>
    <x v="11"/>
    <n v="23629.5"/>
    <n v="2164365"/>
    <n v="1678039.8589999999"/>
    <n v="151098.71538461538"/>
    <n v="19"/>
    <n v="1527"/>
    <n v="1389"/>
  </r>
  <r>
    <d v="2020-05-29T00:00:00"/>
    <x v="0"/>
    <x v="10"/>
    <n v="17052"/>
    <n v="1549020"/>
    <n v="1246591.997"/>
    <n v="104864.4846153846"/>
    <n v="16"/>
    <n v="981"/>
    <n v="859"/>
  </r>
  <r>
    <d v="2020-05-18T00:00:00"/>
    <x v="2"/>
    <x v="11"/>
    <n v="27181.5"/>
    <n v="2324490"/>
    <n v="1796459.4790000001"/>
    <n v="129793.76153846155"/>
    <n v="19"/>
    <n v="1741"/>
    <n v="1597"/>
  </r>
  <r>
    <d v="2020-05-14T00:00:00"/>
    <x v="1"/>
    <x v="11"/>
    <n v="25656"/>
    <n v="2225341.5"/>
    <n v="1766450.28"/>
    <n v="91828.489107692309"/>
    <n v="19"/>
    <n v="1635"/>
    <n v="1487"/>
  </r>
  <r>
    <d v="2020-05-15T00:00:00"/>
    <x v="1"/>
    <x v="11"/>
    <n v="29283"/>
    <n v="2477487"/>
    <n v="2005719.3469999998"/>
    <n v="77264.32873846154"/>
    <n v="19"/>
    <n v="1780"/>
    <n v="1615"/>
  </r>
  <r>
    <d v="2020-05-29T00:00:00"/>
    <x v="0"/>
    <x v="11"/>
    <n v="32782.5"/>
    <n v="2854741.5"/>
    <n v="2293738.9569999999"/>
    <n v="58400.799200000001"/>
    <n v="20"/>
    <n v="2064"/>
    <n v="1896"/>
  </r>
  <r>
    <d v="2020-05-27T00:00:00"/>
    <x v="0"/>
    <x v="12"/>
    <n v="215592"/>
    <n v="22342300.5"/>
    <n v="16240834.603999998"/>
    <n v="285591.72307692305"/>
    <n v="59"/>
    <n v="13942"/>
    <n v="12986"/>
  </r>
  <r>
    <d v="2020-05-22T00:00:00"/>
    <x v="2"/>
    <x v="12"/>
    <n v="228334.5"/>
    <n v="22380772.5"/>
    <n v="17031004.072999999"/>
    <n v="275436.23846153845"/>
    <n v="60"/>
    <n v="14050"/>
    <n v="13027"/>
  </r>
  <r>
    <d v="2020-06-01T00:00:00"/>
    <x v="5"/>
    <x v="12"/>
    <n v="188776.5"/>
    <n v="19465372.5"/>
    <n v="14354207.141999999"/>
    <n v="467483.70729230763"/>
    <n v="59"/>
    <n v="12299"/>
    <n v="11448"/>
  </r>
  <r>
    <d v="2020-05-11T00:00:00"/>
    <x v="1"/>
    <x v="12"/>
    <n v="175293"/>
    <n v="17919144"/>
    <n v="12903628.608999999"/>
    <n v="355401.60769230768"/>
    <n v="60"/>
    <n v="11100"/>
    <n v="10407"/>
  </r>
  <r>
    <d v="2020-05-18T00:00:00"/>
    <x v="2"/>
    <x v="12"/>
    <n v="201999"/>
    <n v="20422435.5"/>
    <n v="14541626.939999998"/>
    <n v="279597.86153846153"/>
    <n v="60"/>
    <n v="12460"/>
    <n v="11665"/>
  </r>
  <r>
    <d v="2020-05-14T00:00:00"/>
    <x v="1"/>
    <x v="12"/>
    <n v="197946"/>
    <n v="19942435.5"/>
    <n v="14561721.772999998"/>
    <n v="363750.55692307692"/>
    <n v="60"/>
    <n v="11935"/>
    <n v="11178"/>
  </r>
  <r>
    <d v="2020-05-15T00:00:00"/>
    <x v="1"/>
    <x v="12"/>
    <n v="230896.5"/>
    <n v="23085222"/>
    <n v="17099721.813000001"/>
    <n v="329754.63076923077"/>
    <n v="60"/>
    <n v="13544"/>
    <n v="12643"/>
  </r>
  <r>
    <d v="2020-05-27T00:00:00"/>
    <x v="0"/>
    <x v="13"/>
    <n v="203532"/>
    <n v="20953324.5"/>
    <n v="15301120.521000002"/>
    <n v="356339.00384615385"/>
    <n v="54"/>
    <n v="13091"/>
    <n v="12216"/>
  </r>
  <r>
    <d v="2020-05-22T00:00:00"/>
    <x v="2"/>
    <x v="13"/>
    <n v="214428"/>
    <n v="20812585.5"/>
    <n v="15857489.721000001"/>
    <n v="256649.16153846151"/>
    <n v="54"/>
    <n v="13014"/>
    <n v="12095"/>
  </r>
  <r>
    <d v="2020-06-01T00:00:00"/>
    <x v="5"/>
    <x v="13"/>
    <n v="183228"/>
    <n v="18914194.5"/>
    <n v="13959979.012"/>
    <n v="464232.54846153839"/>
    <n v="54"/>
    <n v="11864"/>
    <n v="11071"/>
  </r>
  <r>
    <d v="2020-05-11T00:00:00"/>
    <x v="1"/>
    <x v="13"/>
    <n v="166948.5"/>
    <n v="16971231"/>
    <n v="12200989.641000001"/>
    <n v="416475.07692307688"/>
    <n v="54"/>
    <n v="10570"/>
    <n v="9926"/>
  </r>
  <r>
    <d v="2020-05-29T00:00:00"/>
    <x v="0"/>
    <x v="12"/>
    <n v="232102.5"/>
    <n v="23120443.5"/>
    <n v="17632080.519000001"/>
    <n v="331721.66923076921"/>
    <n v="59"/>
    <n v="14507"/>
    <n v="13386"/>
  </r>
  <r>
    <d v="2020-05-18T00:00:00"/>
    <x v="2"/>
    <x v="13"/>
    <n v="196560"/>
    <n v="19855122"/>
    <n v="14172342.450999999"/>
    <n v="269626.30769230769"/>
    <n v="54"/>
    <n v="12012"/>
    <n v="11308"/>
  </r>
  <r>
    <d v="2020-05-14T00:00:00"/>
    <x v="1"/>
    <x v="13"/>
    <n v="186496.5"/>
    <n v="18640998"/>
    <n v="13641908.620999999"/>
    <n v="364896.93846153846"/>
    <n v="54"/>
    <n v="11194"/>
    <n v="10554"/>
  </r>
  <r>
    <d v="2020-05-15T00:00:00"/>
    <x v="1"/>
    <x v="13"/>
    <n v="219772.5"/>
    <n v="21895294.5"/>
    <n v="16241999.308"/>
    <n v="317179.04615384614"/>
    <n v="54"/>
    <n v="12791"/>
    <n v="11950"/>
  </r>
  <r>
    <d v="2020-05-29T00:00:00"/>
    <x v="0"/>
    <x v="13"/>
    <n v="226476"/>
    <n v="22416151.5"/>
    <n v="17175270.221000001"/>
    <n v="306548.18846153846"/>
    <n v="54"/>
    <n v="14031"/>
    <n v="12943"/>
  </r>
  <r>
    <d v="2020-05-27T00:00:00"/>
    <x v="0"/>
    <x v="15"/>
    <n v="8362.5"/>
    <n v="687684"/>
    <n v="597300.38899999997"/>
    <n v="48380.499253846152"/>
    <n v="7"/>
    <n v="409"/>
    <n v="329"/>
  </r>
  <r>
    <d v="2020-05-22T00:00:00"/>
    <x v="2"/>
    <x v="14"/>
    <n v="17008.5"/>
    <n v="1398771"/>
    <n v="1144986.3970000001"/>
    <n v="158820.4117"/>
    <n v="18"/>
    <n v="985"/>
    <n v="861"/>
  </r>
  <r>
    <d v="2020-06-01T00:00:00"/>
    <x v="5"/>
    <x v="16"/>
    <n v="5166"/>
    <n v="389013"/>
    <n v="357353.07299999997"/>
    <n v="141592.70844615385"/>
    <n v="9"/>
    <n v="294"/>
    <n v="224"/>
  </r>
  <r>
    <d v="2020-05-11T00:00:00"/>
    <x v="1"/>
    <x v="14"/>
    <n v="10941"/>
    <n v="880356"/>
    <n v="723289.05500000005"/>
    <n v="166333.57363076921"/>
    <n v="15"/>
    <n v="654"/>
    <n v="564"/>
  </r>
  <r>
    <d v="2020-05-18T00:00:00"/>
    <x v="2"/>
    <x v="14"/>
    <n v="14497.5"/>
    <n v="1230711"/>
    <n v="1005560.455"/>
    <n v="171097.83406153845"/>
    <n v="16"/>
    <n v="864"/>
    <n v="765"/>
  </r>
  <r>
    <d v="2020-05-14T00:00:00"/>
    <x v="1"/>
    <x v="14"/>
    <n v="13810.5"/>
    <n v="1131676.5"/>
    <n v="966968.63599999994"/>
    <n v="195740.02307692307"/>
    <n v="16"/>
    <n v="834"/>
    <n v="735"/>
  </r>
  <r>
    <d v="2020-05-15T00:00:00"/>
    <x v="1"/>
    <x v="14"/>
    <n v="13752"/>
    <n v="1091040"/>
    <n v="898790.64599999995"/>
    <n v="149313.46028461537"/>
    <n v="16"/>
    <n v="817"/>
    <n v="718"/>
  </r>
  <r>
    <d v="2020-05-27T00:00:00"/>
    <x v="0"/>
    <x v="14"/>
    <n v="15276"/>
    <n v="1350199.5"/>
    <n v="1100106.21"/>
    <n v="107692.85196923077"/>
    <n v="18"/>
    <n v="962"/>
    <n v="859"/>
  </r>
  <r>
    <d v="2020-06-01T00:00:00"/>
    <x v="5"/>
    <x v="17"/>
    <n v="4408.5"/>
    <n v="410892"/>
    <n v="346029.05"/>
    <n v="36168.753846153842"/>
    <n v="6"/>
    <n v="237"/>
    <n v="175"/>
  </r>
  <r>
    <d v="2020-05-29T00:00:00"/>
    <x v="0"/>
    <x v="15"/>
    <n v="9927"/>
    <n v="850840.5"/>
    <n v="733232.38899999997"/>
    <n v="51066.353846153841"/>
    <n v="7"/>
    <n v="491"/>
    <n v="411"/>
  </r>
  <r>
    <d v="2020-06-01T00:00:00"/>
    <x v="5"/>
    <x v="15"/>
    <n v="9474"/>
    <n v="802447.5"/>
    <n v="682814.14599999995"/>
    <n v="81560.983369230773"/>
    <n v="7"/>
    <n v="500"/>
    <n v="418"/>
  </r>
  <r>
    <d v="2020-05-29T00:00:00"/>
    <x v="0"/>
    <x v="14"/>
    <n v="16878"/>
    <n v="1438255.5"/>
    <n v="1180692.7039999999"/>
    <n v="102040.10621538461"/>
    <n v="18"/>
    <n v="1014"/>
    <n v="893"/>
  </r>
  <r>
    <d v="2020-06-01T00:00:00"/>
    <x v="5"/>
    <x v="14"/>
    <n v="14238"/>
    <n v="1293219"/>
    <n v="1006008.1159999999"/>
    <n v="129348.2923076923"/>
    <n v="18"/>
    <n v="923"/>
    <n v="8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1C5011-599B-4787-927E-93BD1C11E2E4}" name="Сводная таблица2" cacheId="0" applyNumberFormats="0" applyBorderFormats="0" applyFontFormats="0" applyPatternFormats="0" applyAlignmentFormats="0" applyWidthHeightFormats="1" dataCaption="Значения" updatedVersion="7" minRefreshableVersion="3" useAutoFormatting="1" itemPrintTitles="1" createdVersion="7" indent="0" outline="1" outlineData="1" multipleFieldFilters="0" rowHeaderCaption="Территория">
  <location ref="A3:J22" firstHeaderRow="0" firstDataRow="1" firstDataCol="1" rowPageCount="1" colPageCount="1"/>
  <pivotFields count="13">
    <pivotField numFmtId="164" showAll="0"/>
    <pivotField axis="axisPage" numFmtId="1" multipleItemSelectionAllowed="1" showAll="0">
      <items count="7">
        <item h="1" x="4"/>
        <item h="1" x="3"/>
        <item h="1" x="1"/>
        <item h="1" x="2"/>
        <item x="0"/>
        <item h="1" x="5"/>
        <item t="default"/>
      </items>
    </pivotField>
    <pivotField axis="axisRow" showAll="0">
      <items count="19">
        <item sd="0" x="7"/>
        <item sd="0" x="2"/>
        <item sd="0" x="8"/>
        <item sd="0" x="1"/>
        <item sd="0" x="11"/>
        <item sd="0" x="13"/>
        <item sd="0" x="12"/>
        <item sd="0" x="4"/>
        <item sd="0" x="14"/>
        <item sd="0" x="9"/>
        <item sd="0" x="10"/>
        <item sd="0" x="0"/>
        <item sd="0" x="6"/>
        <item sd="0" x="5"/>
        <item sd="0" x="3"/>
        <item sd="0" x="16"/>
        <item sd="0" x="15"/>
        <item sd="0" x="17"/>
        <item t="default"/>
      </items>
    </pivotField>
    <pivotField dataField="1" numFmtId="3" showAll="0"/>
    <pivotField dataField="1" numFmtId="4" showAll="0"/>
    <pivotField dataField="1" numFmtId="4" showAll="0"/>
    <pivotField dataField="1" numFmtId="4" showAll="0"/>
    <pivotField dataField="1" showAll="0"/>
    <pivotField dataField="1" showAll="0"/>
    <pivotField dataField="1" showAll="0"/>
    <pivotField dragToRow="0" dragToCol="0" dragToPage="0" showAll="0" defaultSubtotal="0"/>
    <pivotField dataField="1" dragToRow="0" dragToCol="0" dragToPage="0" showAll="0" defaultSubtotal="0"/>
    <pivotField dataField="1" dragToRow="0" dragToCol="0" dragToPage="0" showAll="0" defaultSubtotal="0"/>
  </pivotFields>
  <rowFields count="1">
    <field x="2"/>
  </rowFields>
  <rowItems count="19">
    <i>
      <x/>
    </i>
    <i>
      <x v="1"/>
    </i>
    <i>
      <x v="2"/>
    </i>
    <i>
      <x v="3"/>
    </i>
    <i>
      <x v="4"/>
    </i>
    <i>
      <x v="5"/>
    </i>
    <i>
      <x v="6"/>
    </i>
    <i>
      <x v="7"/>
    </i>
    <i>
      <x v="8"/>
    </i>
    <i>
      <x v="9"/>
    </i>
    <i>
      <x v="10"/>
    </i>
    <i>
      <x v="11"/>
    </i>
    <i>
      <x v="12"/>
    </i>
    <i>
      <x v="13"/>
    </i>
    <i>
      <x v="14"/>
    </i>
    <i>
      <x v="15"/>
    </i>
    <i>
      <x v="16"/>
    </i>
    <i>
      <x v="17"/>
    </i>
    <i t="grand">
      <x/>
    </i>
  </rowItems>
  <colFields count="1">
    <field x="-2"/>
  </colFields>
  <colItems count="9">
    <i>
      <x/>
    </i>
    <i i="1">
      <x v="1"/>
    </i>
    <i i="2">
      <x v="2"/>
    </i>
    <i i="3">
      <x v="3"/>
    </i>
    <i i="4">
      <x v="4"/>
    </i>
    <i i="5">
      <x v="5"/>
    </i>
    <i i="6">
      <x v="6"/>
    </i>
    <i i="7">
      <x v="7"/>
    </i>
    <i i="8">
      <x v="8"/>
    </i>
  </colItems>
  <pageFields count="1">
    <pageField fld="1" hier="-1"/>
  </pageFields>
  <dataFields count="9">
    <dataField name=" Товарооборот, шт" fld="3" baseField="0" baseItem="0"/>
    <dataField name="  Товарооборот, руб" fld="4" baseField="0" baseItem="0"/>
    <dataField name=" Товарооборот в себестоимости" fld="5" baseField="0" baseItem="0"/>
    <dataField name=" Потери, руб" fld="6" baseField="0" baseItem="0"/>
    <dataField name="  Количество складов" fld="7" baseField="0" baseItem="0"/>
    <dataField name=" Количество заказов" fld="8" baseField="0" baseItem="0"/>
    <dataField name=" Количество клиентов" fld="9" baseField="0" baseItem="0"/>
    <dataField name=" Наценка" fld="11" baseField="0" baseItem="0" numFmtId="9"/>
    <dataField name=" Доходность" fld="12" baseField="0" baseItem="0" numFmtId="9"/>
  </dataFields>
  <formats count="18">
    <format dxfId="21">
      <pivotArea field="2" type="button" dataOnly="0" labelOnly="1" outline="0" axis="axisRow" fieldPosition="0"/>
    </format>
    <format dxfId="20">
      <pivotArea dataOnly="0" labelOnly="1" outline="0" fieldPosition="0">
        <references count="1">
          <reference field="4294967294" count="7">
            <x v="0"/>
            <x v="1"/>
            <x v="2"/>
            <x v="3"/>
            <x v="4"/>
            <x v="5"/>
            <x v="6"/>
          </reference>
        </references>
      </pivotArea>
    </format>
    <format dxfId="19">
      <pivotArea field="2" type="button" dataOnly="0" labelOnly="1" outline="0" axis="axisRow" fieldPosition="0"/>
    </format>
    <format dxfId="18">
      <pivotArea dataOnly="0" labelOnly="1" outline="0" fieldPosition="0">
        <references count="1">
          <reference field="4294967294" count="7">
            <x v="0"/>
            <x v="1"/>
            <x v="2"/>
            <x v="3"/>
            <x v="4"/>
            <x v="5"/>
            <x v="6"/>
          </reference>
        </references>
      </pivotArea>
    </format>
    <format dxfId="17">
      <pivotArea collapsedLevelsAreSubtotals="1" fieldPosition="0">
        <references count="1">
          <reference field="2" count="0"/>
        </references>
      </pivotArea>
    </format>
    <format dxfId="16">
      <pivotArea collapsedLevelsAreSubtotals="1" fieldPosition="0">
        <references count="2">
          <reference field="4294967294" count="1" selected="0">
            <x v="6"/>
          </reference>
          <reference field="2" count="0"/>
        </references>
      </pivotArea>
    </format>
    <format dxfId="15">
      <pivotArea collapsedLevelsAreSubtotals="1" fieldPosition="0">
        <references count="2">
          <reference field="4294967294" count="2" selected="0">
            <x v="4"/>
            <x v="5"/>
          </reference>
          <reference field="2" count="0"/>
        </references>
      </pivotArea>
    </format>
    <format dxfId="14">
      <pivotArea collapsedLevelsAreSubtotals="1" fieldPosition="0">
        <references count="2">
          <reference field="4294967294" count="1" selected="0">
            <x v="0"/>
          </reference>
          <reference field="2" count="0"/>
        </references>
      </pivotArea>
    </format>
    <format dxfId="13">
      <pivotArea grandRow="1" outline="0" collapsedLevelsAreSubtotals="1" fieldPosition="0"/>
    </format>
    <format dxfId="12">
      <pivotArea dataOnly="0" labelOnly="1" grandRow="1" outline="0" fieldPosition="0"/>
    </format>
    <format dxfId="11">
      <pivotArea field="2" grandRow="1" outline="0" collapsedLevelsAreSubtotals="1" axis="axisRow" fieldPosition="0">
        <references count="1">
          <reference field="4294967294" count="3" selected="0">
            <x v="4"/>
            <x v="5"/>
            <x v="6"/>
          </reference>
        </references>
      </pivotArea>
    </format>
    <format dxfId="10">
      <pivotArea field="2" grandRow="1" outline="0" collapsedLevelsAreSubtotals="1" axis="axisRow" fieldPosition="0">
        <references count="1">
          <reference field="4294967294" count="1" selected="0">
            <x v="0"/>
          </reference>
        </references>
      </pivotArea>
    </format>
    <format dxfId="9">
      <pivotArea outline="0" collapsedLevelsAreSubtotals="1" fieldPosition="0">
        <references count="1">
          <reference field="4294967294" count="1" selected="0">
            <x v="7"/>
          </reference>
        </references>
      </pivotArea>
    </format>
    <format dxfId="8">
      <pivotArea dataOnly="0" labelOnly="1" outline="0" fieldPosition="0">
        <references count="1">
          <reference field="4294967294" count="1">
            <x v="7"/>
          </reference>
        </references>
      </pivotArea>
    </format>
    <format dxfId="7">
      <pivotArea dataOnly="0" labelOnly="1" outline="0" fieldPosition="0">
        <references count="1">
          <reference field="4294967294" count="1">
            <x v="7"/>
          </reference>
        </references>
      </pivotArea>
    </format>
    <format dxfId="6">
      <pivotArea dataOnly="0" labelOnly="1" outline="0" fieldPosition="0">
        <references count="1">
          <reference field="4294967294" count="1">
            <x v="3"/>
          </reference>
        </references>
      </pivotArea>
    </format>
    <format dxfId="5">
      <pivotArea outline="0" collapsedLevelsAreSubtotals="1" fieldPosition="0">
        <references count="1">
          <reference field="4294967294" count="1" selected="0">
            <x v="8"/>
          </reference>
        </references>
      </pivotArea>
    </format>
    <format dxfId="4">
      <pivotArea dataOnly="0" labelOnly="1" outline="0" fieldPosition="0">
        <references count="1">
          <reference field="4294967294" count="1">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531B6D-D7A2-45A6-B91D-3BBC5AAC369C}" name="Таблица1" displayName="Таблица1" ref="A1:E505" totalsRowShown="0" headerRowDxfId="3" headerRowBorderDxfId="2" tableBorderDxfId="1">
  <autoFilter ref="A1:E505" xr:uid="{9F531B6D-D7A2-45A6-B91D-3BBC5AAC369C}"/>
  <tableColumns count="5">
    <tableColumn id="1" xr3:uid="{FBD8CC28-C421-4179-A13F-56D40AD5CCB2}" name="Дата" dataDxfId="0"/>
    <tableColumn id="2" xr3:uid="{FC0B389C-D779-48FF-844F-425EEBF4D9D4}" name="Территория"/>
    <tableColumn id="3" xr3:uid="{0B9FD572-4720-4221-8CFA-98EAE49DD121}" name="Количество складов"/>
    <tableColumn id="4" xr3:uid="{8B27B061-89E8-49FD-A9CF-F84A4A55CEB9}" name="Количество заказов"/>
    <tableColumn id="5" xr3:uid="{0B6EFACF-477F-40D8-B062-AB0B35D0FF9F}" name="Количество клиентов"/>
  </tableColumns>
  <tableStyleInfo name="TableStyleMedium2"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27252-56BA-410E-B0AD-827716E53CCD}">
  <dimension ref="A1:O90"/>
  <sheetViews>
    <sheetView tabSelected="1" topLeftCell="A56" zoomScale="110" zoomScaleNormal="110" workbookViewId="0">
      <selection activeCell="A56" sqref="A56"/>
    </sheetView>
  </sheetViews>
  <sheetFormatPr defaultRowHeight="14.4" x14ac:dyDescent="0.3"/>
  <cols>
    <col min="1" max="1" width="14.8984375" customWidth="1"/>
    <col min="2" max="2" width="10.8984375" customWidth="1"/>
    <col min="3" max="3" width="39.296875" customWidth="1"/>
    <col min="4" max="4" width="33.8984375" bestFit="1" customWidth="1"/>
    <col min="5" max="5" width="9.09765625" customWidth="1"/>
  </cols>
  <sheetData>
    <row r="1" spans="1:4" x14ac:dyDescent="0.3">
      <c r="A1" s="23" t="s">
        <v>90</v>
      </c>
    </row>
    <row r="2" spans="1:4" x14ac:dyDescent="0.3">
      <c r="A2" s="4" t="s">
        <v>93</v>
      </c>
    </row>
    <row r="3" spans="1:4" x14ac:dyDescent="0.3">
      <c r="A3" s="4"/>
    </row>
    <row r="4" spans="1:4" ht="15" thickBot="1" x14ac:dyDescent="0.35">
      <c r="A4" s="4" t="s">
        <v>27</v>
      </c>
    </row>
    <row r="5" spans="1:4" ht="15" thickBot="1" x14ac:dyDescent="0.35">
      <c r="A5" s="21" t="s">
        <v>105</v>
      </c>
      <c r="B5" s="22" t="s">
        <v>102</v>
      </c>
      <c r="C5" s="22" t="s">
        <v>103</v>
      </c>
      <c r="D5" s="22" t="s">
        <v>104</v>
      </c>
    </row>
    <row r="6" spans="1:4" ht="15" thickBot="1" x14ac:dyDescent="0.35">
      <c r="A6" s="5" t="s">
        <v>28</v>
      </c>
      <c r="B6" s="6" t="s">
        <v>29</v>
      </c>
      <c r="C6" s="6" t="s">
        <v>30</v>
      </c>
      <c r="D6" s="6">
        <v>1020652676</v>
      </c>
    </row>
    <row r="7" spans="1:4" ht="15" thickBot="1" x14ac:dyDescent="0.35">
      <c r="A7" s="7" t="s">
        <v>31</v>
      </c>
      <c r="B7" s="8" t="s">
        <v>32</v>
      </c>
      <c r="C7" s="8" t="s">
        <v>33</v>
      </c>
      <c r="D7" s="8" t="s">
        <v>96</v>
      </c>
    </row>
    <row r="8" spans="1:4" ht="15" thickBot="1" x14ac:dyDescent="0.35">
      <c r="A8" s="7" t="s">
        <v>34</v>
      </c>
      <c r="B8" s="8" t="s">
        <v>32</v>
      </c>
      <c r="C8" s="8" t="s">
        <v>35</v>
      </c>
      <c r="D8" s="8" t="s">
        <v>94</v>
      </c>
    </row>
    <row r="9" spans="1:4" ht="15" thickBot="1" x14ac:dyDescent="0.35">
      <c r="A9" s="7" t="s">
        <v>36</v>
      </c>
      <c r="B9" s="8" t="s">
        <v>37</v>
      </c>
      <c r="C9" s="8" t="s">
        <v>38</v>
      </c>
      <c r="D9" s="18">
        <v>44440</v>
      </c>
    </row>
    <row r="10" spans="1:4" ht="15" thickBot="1" x14ac:dyDescent="0.35">
      <c r="A10" s="7" t="s">
        <v>39</v>
      </c>
      <c r="B10" s="8" t="s">
        <v>37</v>
      </c>
      <c r="C10" s="8" t="s">
        <v>40</v>
      </c>
      <c r="D10" s="8" t="s">
        <v>95</v>
      </c>
    </row>
    <row r="11" spans="1:4" x14ac:dyDescent="0.3">
      <c r="A11" s="4"/>
    </row>
    <row r="12" spans="1:4" ht="15" thickBot="1" x14ac:dyDescent="0.35">
      <c r="A12" s="4" t="s">
        <v>41</v>
      </c>
    </row>
    <row r="13" spans="1:4" ht="15" thickBot="1" x14ac:dyDescent="0.35">
      <c r="A13" s="5" t="s">
        <v>42</v>
      </c>
      <c r="B13" s="6" t="s">
        <v>29</v>
      </c>
      <c r="C13" s="6" t="s">
        <v>43</v>
      </c>
      <c r="D13" s="6">
        <v>3577634400</v>
      </c>
    </row>
    <row r="14" spans="1:4" ht="15" thickBot="1" x14ac:dyDescent="0.35">
      <c r="A14" s="7" t="s">
        <v>31</v>
      </c>
      <c r="B14" s="8" t="s">
        <v>32</v>
      </c>
      <c r="C14" s="8" t="s">
        <v>44</v>
      </c>
      <c r="D14" s="8" t="s">
        <v>97</v>
      </c>
    </row>
    <row r="15" spans="1:4" ht="15" thickBot="1" x14ac:dyDescent="0.35">
      <c r="A15" s="7" t="s">
        <v>45</v>
      </c>
      <c r="B15" s="8" t="s">
        <v>32</v>
      </c>
      <c r="C15" s="8" t="s">
        <v>46</v>
      </c>
      <c r="D15" s="8" t="s">
        <v>98</v>
      </c>
    </row>
    <row r="16" spans="1:4" ht="15" thickBot="1" x14ac:dyDescent="0.35">
      <c r="A16" s="7" t="s">
        <v>47</v>
      </c>
      <c r="B16" s="8" t="s">
        <v>32</v>
      </c>
      <c r="C16" s="8" t="s">
        <v>48</v>
      </c>
      <c r="D16" s="8" t="s">
        <v>99</v>
      </c>
    </row>
    <row r="17" spans="1:4" ht="15" thickBot="1" x14ac:dyDescent="0.35">
      <c r="A17" s="7" t="s">
        <v>49</v>
      </c>
      <c r="B17" s="8" t="s">
        <v>32</v>
      </c>
      <c r="C17" s="8" t="s">
        <v>50</v>
      </c>
      <c r="D17" s="8" t="s">
        <v>100</v>
      </c>
    </row>
    <row r="18" spans="1:4" ht="15" thickBot="1" x14ac:dyDescent="0.35">
      <c r="A18" s="7" t="s">
        <v>51</v>
      </c>
      <c r="B18" s="8" t="s">
        <v>52</v>
      </c>
      <c r="C18" s="8" t="s">
        <v>53</v>
      </c>
      <c r="D18" s="8">
        <v>0.55000000000000004</v>
      </c>
    </row>
    <row r="19" spans="1:4" ht="15" thickBot="1" x14ac:dyDescent="0.35">
      <c r="A19" s="7" t="s">
        <v>54</v>
      </c>
      <c r="B19" s="8" t="s">
        <v>29</v>
      </c>
      <c r="C19" s="8" t="s">
        <v>55</v>
      </c>
      <c r="D19" s="8">
        <v>180</v>
      </c>
    </row>
    <row r="20" spans="1:4" x14ac:dyDescent="0.3">
      <c r="A20" s="4"/>
    </row>
    <row r="21" spans="1:4" ht="15" thickBot="1" x14ac:dyDescent="0.35">
      <c r="A21" s="4" t="s">
        <v>56</v>
      </c>
    </row>
    <row r="22" spans="1:4" ht="15" thickBot="1" x14ac:dyDescent="0.35">
      <c r="A22" s="5" t="s">
        <v>57</v>
      </c>
      <c r="B22" s="6" t="s">
        <v>29</v>
      </c>
      <c r="C22" s="6" t="s">
        <v>58</v>
      </c>
      <c r="D22" s="6">
        <v>1045687455</v>
      </c>
    </row>
    <row r="23" spans="1:4" ht="15" thickBot="1" x14ac:dyDescent="0.35">
      <c r="A23" s="7" t="s">
        <v>28</v>
      </c>
      <c r="B23" s="8" t="s">
        <v>29</v>
      </c>
      <c r="C23" s="8" t="s">
        <v>30</v>
      </c>
      <c r="D23" s="8">
        <v>1020652676</v>
      </c>
    </row>
    <row r="24" spans="1:4" ht="15" thickBot="1" x14ac:dyDescent="0.35">
      <c r="A24" s="7" t="s">
        <v>59</v>
      </c>
      <c r="B24" s="8" t="s">
        <v>29</v>
      </c>
      <c r="C24" s="8" t="s">
        <v>60</v>
      </c>
      <c r="D24" s="8">
        <v>4557094039</v>
      </c>
    </row>
    <row r="25" spans="1:4" ht="15" thickBot="1" x14ac:dyDescent="0.35">
      <c r="A25" s="7" t="s">
        <v>37</v>
      </c>
      <c r="B25" s="8" t="s">
        <v>61</v>
      </c>
      <c r="C25" s="8" t="s">
        <v>62</v>
      </c>
      <c r="D25" s="19">
        <v>44440.569618055553</v>
      </c>
    </row>
    <row r="26" spans="1:4" ht="15" thickBot="1" x14ac:dyDescent="0.35">
      <c r="A26" s="7" t="s">
        <v>63</v>
      </c>
      <c r="B26" s="8" t="s">
        <v>52</v>
      </c>
      <c r="C26" s="8" t="s">
        <v>64</v>
      </c>
      <c r="D26" s="6">
        <v>1565</v>
      </c>
    </row>
    <row r="27" spans="1:4" ht="15" thickBot="1" x14ac:dyDescent="0.35">
      <c r="A27" s="7" t="s">
        <v>65</v>
      </c>
      <c r="B27" s="8" t="s">
        <v>52</v>
      </c>
      <c r="C27" s="8" t="s">
        <v>66</v>
      </c>
      <c r="D27" s="6">
        <v>12</v>
      </c>
    </row>
    <row r="28" spans="1:4" x14ac:dyDescent="0.3">
      <c r="A28" s="4"/>
    </row>
    <row r="29" spans="1:4" ht="15" thickBot="1" x14ac:dyDescent="0.35">
      <c r="A29" s="4" t="s">
        <v>67</v>
      </c>
    </row>
    <row r="30" spans="1:4" ht="15" thickBot="1" x14ac:dyDescent="0.35">
      <c r="A30" s="5" t="s">
        <v>57</v>
      </c>
      <c r="B30" s="6" t="s">
        <v>29</v>
      </c>
      <c r="C30" s="6" t="s">
        <v>58</v>
      </c>
      <c r="D30" s="6">
        <v>1045687455</v>
      </c>
    </row>
    <row r="31" spans="1:4" ht="15" thickBot="1" x14ac:dyDescent="0.35">
      <c r="A31" s="7" t="s">
        <v>37</v>
      </c>
      <c r="B31" s="8" t="s">
        <v>61</v>
      </c>
      <c r="C31" s="8" t="s">
        <v>62</v>
      </c>
      <c r="D31" s="19">
        <v>44440.569618055553</v>
      </c>
    </row>
    <row r="32" spans="1:4" ht="15" thickBot="1" x14ac:dyDescent="0.35">
      <c r="A32" s="7" t="s">
        <v>28</v>
      </c>
      <c r="B32" s="8" t="s">
        <v>29</v>
      </c>
      <c r="C32" s="8" t="s">
        <v>30</v>
      </c>
      <c r="D32" s="6">
        <v>1020652676</v>
      </c>
    </row>
    <row r="33" spans="1:4" ht="15" thickBot="1" x14ac:dyDescent="0.35">
      <c r="A33" s="7" t="s">
        <v>42</v>
      </c>
      <c r="B33" s="8" t="s">
        <v>29</v>
      </c>
      <c r="C33" s="8" t="s">
        <v>43</v>
      </c>
      <c r="D33" s="6">
        <v>3577634400</v>
      </c>
    </row>
    <row r="34" spans="1:4" ht="15" thickBot="1" x14ac:dyDescent="0.35">
      <c r="A34" s="7" t="s">
        <v>68</v>
      </c>
      <c r="B34" s="8" t="s">
        <v>52</v>
      </c>
      <c r="C34" s="8" t="s">
        <v>69</v>
      </c>
      <c r="D34" s="8">
        <v>89.9</v>
      </c>
    </row>
    <row r="35" spans="1:4" ht="15" thickBot="1" x14ac:dyDescent="0.35">
      <c r="A35" s="7" t="s">
        <v>70</v>
      </c>
      <c r="B35" s="8" t="s">
        <v>52</v>
      </c>
      <c r="C35" s="8" t="s">
        <v>71</v>
      </c>
      <c r="D35" s="8">
        <v>89.9</v>
      </c>
    </row>
    <row r="36" spans="1:4" ht="15" thickBot="1" x14ac:dyDescent="0.35">
      <c r="A36" s="7" t="s">
        <v>72</v>
      </c>
      <c r="B36" s="8" t="s">
        <v>52</v>
      </c>
      <c r="C36" s="8" t="s">
        <v>73</v>
      </c>
      <c r="D36" s="8">
        <v>80.5</v>
      </c>
    </row>
    <row r="37" spans="1:4" ht="15" thickBot="1" x14ac:dyDescent="0.35">
      <c r="A37" s="7" t="s">
        <v>65</v>
      </c>
      <c r="B37" s="8" t="s">
        <v>52</v>
      </c>
      <c r="C37" s="8" t="s">
        <v>74</v>
      </c>
      <c r="D37" s="8">
        <v>2</v>
      </c>
    </row>
    <row r="38" spans="1:4" ht="15" thickBot="1" x14ac:dyDescent="0.35">
      <c r="A38" s="7" t="s">
        <v>63</v>
      </c>
      <c r="B38" s="8" t="s">
        <v>52</v>
      </c>
      <c r="C38" s="8" t="s">
        <v>75</v>
      </c>
      <c r="D38" s="8">
        <v>179.8</v>
      </c>
    </row>
    <row r="39" spans="1:4" x14ac:dyDescent="0.3">
      <c r="A39" s="4"/>
    </row>
    <row r="40" spans="1:4" ht="15" thickBot="1" x14ac:dyDescent="0.35">
      <c r="A40" s="4" t="s">
        <v>76</v>
      </c>
    </row>
    <row r="41" spans="1:4" ht="15" thickBot="1" x14ac:dyDescent="0.35">
      <c r="A41" s="5" t="s">
        <v>37</v>
      </c>
      <c r="B41" s="6" t="s">
        <v>61</v>
      </c>
      <c r="C41" s="6" t="s">
        <v>77</v>
      </c>
      <c r="D41" s="20">
        <v>44440.569618055553</v>
      </c>
    </row>
    <row r="42" spans="1:4" ht="15" thickBot="1" x14ac:dyDescent="0.35">
      <c r="A42" s="7" t="s">
        <v>28</v>
      </c>
      <c r="B42" s="8" t="s">
        <v>29</v>
      </c>
      <c r="C42" s="8" t="s">
        <v>30</v>
      </c>
      <c r="D42" s="8">
        <v>1020652676</v>
      </c>
    </row>
    <row r="43" spans="1:4" ht="15" thickBot="1" x14ac:dyDescent="0.35">
      <c r="A43" s="7" t="s">
        <v>42</v>
      </c>
      <c r="B43" s="8" t="s">
        <v>29</v>
      </c>
      <c r="C43" s="8" t="s">
        <v>43</v>
      </c>
      <c r="D43" s="6">
        <v>3577634400</v>
      </c>
    </row>
    <row r="44" spans="1:4" ht="29.4" thickBot="1" x14ac:dyDescent="0.35">
      <c r="A44" s="7" t="s">
        <v>78</v>
      </c>
      <c r="B44" s="8" t="s">
        <v>29</v>
      </c>
      <c r="C44" s="8" t="s">
        <v>101</v>
      </c>
      <c r="D44" s="8">
        <v>146</v>
      </c>
    </row>
    <row r="45" spans="1:4" ht="15" thickBot="1" x14ac:dyDescent="0.35">
      <c r="A45" s="7" t="s">
        <v>65</v>
      </c>
      <c r="B45" s="8" t="s">
        <v>52</v>
      </c>
      <c r="C45" s="8" t="s">
        <v>79</v>
      </c>
      <c r="D45" s="8">
        <v>3</v>
      </c>
    </row>
    <row r="46" spans="1:4" ht="15" thickBot="1" x14ac:dyDescent="0.35">
      <c r="A46" s="7" t="s">
        <v>80</v>
      </c>
      <c r="B46" s="8" t="s">
        <v>52</v>
      </c>
      <c r="C46" s="8" t="s">
        <v>81</v>
      </c>
      <c r="D46" s="8">
        <v>241.5</v>
      </c>
    </row>
    <row r="47" spans="1:4" x14ac:dyDescent="0.3">
      <c r="A47" s="4"/>
    </row>
    <row r="48" spans="1:4" x14ac:dyDescent="0.3">
      <c r="A48" s="4"/>
    </row>
    <row r="49" spans="1:1" x14ac:dyDescent="0.3">
      <c r="A49" s="9" t="s">
        <v>82</v>
      </c>
    </row>
    <row r="50" spans="1:1" x14ac:dyDescent="0.3">
      <c r="A50" s="9" t="s">
        <v>83</v>
      </c>
    </row>
    <row r="51" spans="1:1" x14ac:dyDescent="0.3">
      <c r="A51" s="9" t="s">
        <v>84</v>
      </c>
    </row>
    <row r="52" spans="1:1" x14ac:dyDescent="0.3">
      <c r="A52" s="9" t="s">
        <v>85</v>
      </c>
    </row>
    <row r="53" spans="1:1" x14ac:dyDescent="0.3">
      <c r="A53" s="9" t="s">
        <v>106</v>
      </c>
    </row>
    <row r="54" spans="1:1" x14ac:dyDescent="0.3">
      <c r="A54" s="9" t="s">
        <v>86</v>
      </c>
    </row>
    <row r="55" spans="1:1" x14ac:dyDescent="0.3">
      <c r="A55" s="9" t="s">
        <v>126</v>
      </c>
    </row>
    <row r="56" spans="1:1" x14ac:dyDescent="0.3">
      <c r="A56" s="9" t="s">
        <v>87</v>
      </c>
    </row>
    <row r="57" spans="1:1" x14ac:dyDescent="0.3">
      <c r="A57" s="9" t="s">
        <v>88</v>
      </c>
    </row>
    <row r="58" spans="1:1" x14ac:dyDescent="0.3">
      <c r="A58" s="9" t="s">
        <v>89</v>
      </c>
    </row>
    <row r="61" spans="1:1" x14ac:dyDescent="0.3">
      <c r="A61" s="9"/>
    </row>
    <row r="62" spans="1:1" x14ac:dyDescent="0.3">
      <c r="A62" s="23" t="s">
        <v>107</v>
      </c>
    </row>
    <row r="63" spans="1:1" x14ac:dyDescent="0.3">
      <c r="A63" t="s">
        <v>91</v>
      </c>
    </row>
    <row r="64" spans="1:1" x14ac:dyDescent="0.3">
      <c r="A64" t="s">
        <v>92</v>
      </c>
    </row>
    <row r="65" spans="1:15" x14ac:dyDescent="0.3">
      <c r="A65" t="s">
        <v>108</v>
      </c>
    </row>
    <row r="66" spans="1:15" x14ac:dyDescent="0.3">
      <c r="A66" t="s">
        <v>109</v>
      </c>
    </row>
    <row r="69" spans="1:15" x14ac:dyDescent="0.3">
      <c r="A69" s="4" t="s">
        <v>124</v>
      </c>
    </row>
    <row r="72" spans="1:15" ht="14.4" customHeight="1" x14ac:dyDescent="0.3">
      <c r="J72" s="54" t="s">
        <v>125</v>
      </c>
      <c r="K72" s="54"/>
      <c r="L72" s="54"/>
      <c r="M72" s="54"/>
      <c r="N72" s="54"/>
      <c r="O72" s="54"/>
    </row>
    <row r="73" spans="1:15" x14ac:dyDescent="0.3">
      <c r="J73" s="54"/>
      <c r="K73" s="54"/>
      <c r="L73" s="54"/>
      <c r="M73" s="54"/>
      <c r="N73" s="54"/>
      <c r="O73" s="54"/>
    </row>
    <row r="74" spans="1:15" x14ac:dyDescent="0.3">
      <c r="J74" s="54"/>
      <c r="K74" s="54"/>
      <c r="L74" s="54"/>
      <c r="M74" s="54"/>
      <c r="N74" s="54"/>
      <c r="O74" s="54"/>
    </row>
    <row r="75" spans="1:15" x14ac:dyDescent="0.3">
      <c r="J75" s="54"/>
      <c r="K75" s="54"/>
      <c r="L75" s="54"/>
      <c r="M75" s="54"/>
      <c r="N75" s="54"/>
      <c r="O75" s="54"/>
    </row>
    <row r="76" spans="1:15" x14ac:dyDescent="0.3">
      <c r="J76" s="54"/>
      <c r="K76" s="54"/>
      <c r="L76" s="54"/>
      <c r="M76" s="54"/>
      <c r="N76" s="54"/>
      <c r="O76" s="54"/>
    </row>
    <row r="77" spans="1:15" x14ac:dyDescent="0.3">
      <c r="J77" s="54"/>
      <c r="K77" s="54"/>
      <c r="L77" s="54"/>
      <c r="M77" s="54"/>
      <c r="N77" s="54"/>
      <c r="O77" s="54"/>
    </row>
    <row r="78" spans="1:15" x14ac:dyDescent="0.3">
      <c r="J78" s="54"/>
      <c r="K78" s="54"/>
      <c r="L78" s="54"/>
      <c r="M78" s="54"/>
      <c r="N78" s="54"/>
      <c r="O78" s="54"/>
    </row>
    <row r="79" spans="1:15" x14ac:dyDescent="0.3">
      <c r="J79" s="54"/>
      <c r="K79" s="54"/>
      <c r="L79" s="54"/>
      <c r="M79" s="54"/>
      <c r="N79" s="54"/>
      <c r="O79" s="54"/>
    </row>
    <row r="80" spans="1:15" x14ac:dyDescent="0.3">
      <c r="J80" s="54"/>
      <c r="K80" s="54"/>
      <c r="L80" s="54"/>
      <c r="M80" s="54"/>
      <c r="N80" s="54"/>
      <c r="O80" s="54"/>
    </row>
    <row r="81" spans="10:15" x14ac:dyDescent="0.3">
      <c r="J81" s="54"/>
      <c r="K81" s="54"/>
      <c r="L81" s="54"/>
      <c r="M81" s="54"/>
      <c r="N81" s="54"/>
      <c r="O81" s="54"/>
    </row>
    <row r="82" spans="10:15" x14ac:dyDescent="0.3">
      <c r="J82" s="54"/>
      <c r="K82" s="54"/>
      <c r="L82" s="54"/>
      <c r="M82" s="54"/>
      <c r="N82" s="54"/>
      <c r="O82" s="54"/>
    </row>
    <row r="83" spans="10:15" x14ac:dyDescent="0.3">
      <c r="J83" s="54"/>
      <c r="K83" s="54"/>
      <c r="L83" s="54"/>
      <c r="M83" s="54"/>
      <c r="N83" s="54"/>
      <c r="O83" s="54"/>
    </row>
    <row r="84" spans="10:15" x14ac:dyDescent="0.3">
      <c r="J84" s="54"/>
      <c r="K84" s="54"/>
      <c r="L84" s="54"/>
      <c r="M84" s="54"/>
      <c r="N84" s="54"/>
      <c r="O84" s="54"/>
    </row>
    <row r="85" spans="10:15" x14ac:dyDescent="0.3">
      <c r="J85" s="54"/>
      <c r="K85" s="54"/>
      <c r="L85" s="54"/>
      <c r="M85" s="54"/>
      <c r="N85" s="54"/>
      <c r="O85" s="54"/>
    </row>
    <row r="86" spans="10:15" x14ac:dyDescent="0.3">
      <c r="J86" s="54"/>
      <c r="K86" s="54"/>
      <c r="L86" s="54"/>
      <c r="M86" s="54"/>
      <c r="N86" s="54"/>
      <c r="O86" s="54"/>
    </row>
    <row r="87" spans="10:15" x14ac:dyDescent="0.3">
      <c r="J87" s="54"/>
      <c r="K87" s="54"/>
      <c r="L87" s="54"/>
      <c r="M87" s="54"/>
      <c r="N87" s="54"/>
      <c r="O87" s="54"/>
    </row>
    <row r="88" spans="10:15" x14ac:dyDescent="0.3">
      <c r="J88" s="54"/>
      <c r="K88" s="54"/>
      <c r="L88" s="54"/>
      <c r="M88" s="54"/>
      <c r="N88" s="54"/>
      <c r="O88" s="54"/>
    </row>
    <row r="89" spans="10:15" x14ac:dyDescent="0.3">
      <c r="J89" s="54"/>
      <c r="K89" s="54"/>
      <c r="L89" s="54"/>
      <c r="M89" s="54"/>
      <c r="N89" s="54"/>
      <c r="O89" s="54"/>
    </row>
    <row r="90" spans="10:15" x14ac:dyDescent="0.3">
      <c r="J90" s="54"/>
      <c r="K90" s="54"/>
      <c r="L90" s="54"/>
      <c r="M90" s="54"/>
      <c r="N90" s="54"/>
      <c r="O90" s="54"/>
    </row>
  </sheetData>
  <mergeCells count="1">
    <mergeCell ref="J72:O9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B8755-6A78-4FA1-B9F7-FDD7DC51BBDD}">
  <dimension ref="A1:J505"/>
  <sheetViews>
    <sheetView zoomScale="85" zoomScaleNormal="85" workbookViewId="0">
      <selection activeCell="E17" sqref="E17"/>
    </sheetView>
  </sheetViews>
  <sheetFormatPr defaultRowHeight="14.4" x14ac:dyDescent="0.3"/>
  <cols>
    <col min="1" max="1" width="10.3984375" bestFit="1" customWidth="1"/>
    <col min="2" max="2" width="10.3984375" style="38" bestFit="1" customWidth="1"/>
    <col min="3" max="10" width="22" customWidth="1"/>
  </cols>
  <sheetData>
    <row r="1" spans="1:10" s="1" customFormat="1" ht="28.8" x14ac:dyDescent="0.3">
      <c r="A1" s="10" t="s">
        <v>0</v>
      </c>
      <c r="B1" s="34" t="s">
        <v>110</v>
      </c>
      <c r="C1" s="11" t="s">
        <v>1</v>
      </c>
      <c r="D1" s="11" t="s">
        <v>24</v>
      </c>
      <c r="E1" s="11" t="s">
        <v>23</v>
      </c>
      <c r="F1" s="11" t="s">
        <v>25</v>
      </c>
      <c r="G1" s="12" t="s">
        <v>2</v>
      </c>
      <c r="H1" s="11" t="s">
        <v>21</v>
      </c>
      <c r="I1" s="11" t="s">
        <v>22</v>
      </c>
      <c r="J1" s="11" t="s">
        <v>26</v>
      </c>
    </row>
    <row r="2" spans="1:10" x14ac:dyDescent="0.3">
      <c r="A2" s="13">
        <v>43982</v>
      </c>
      <c r="B2" s="35">
        <f>_xlfn.ISOWEEKNUM(A2)</f>
        <v>22</v>
      </c>
      <c r="C2" s="14" t="s">
        <v>14</v>
      </c>
      <c r="D2" s="25">
        <v>7944</v>
      </c>
      <c r="E2" s="28">
        <v>623971.5</v>
      </c>
      <c r="F2" s="28">
        <v>565363.01599999995</v>
      </c>
      <c r="G2" s="29">
        <v>64235.456923076919</v>
      </c>
      <c r="H2" s="25" cm="1">
        <f t="array" ref="H2">INDEX(Таблица1[Количество складов],MATCH(1,(Таблица1[Дата]=Лист1!A2)*(Таблица1[Территория]=Лист1!C2),0))</f>
        <v>15</v>
      </c>
      <c r="I2" s="25" cm="1">
        <f t="array" ref="I2">INDEX(Таблица1[Количество заказов],MATCH(1,(Таблица1[Дата]=Лист1!A2)*(Таблица1[Территория]=Лист1!C2),0))</f>
        <v>441</v>
      </c>
      <c r="J2" s="25" cm="1">
        <f t="array" ref="J2">INDEX(Таблица1[Количество клиентов],MATCH(1,(Таблица1[Дата]=Лист1!A2)*(Таблица1[Территория]=Лист1!C2),0))</f>
        <v>368</v>
      </c>
    </row>
    <row r="3" spans="1:10" x14ac:dyDescent="0.3">
      <c r="A3" s="15">
        <v>43981</v>
      </c>
      <c r="B3" s="36">
        <f t="shared" ref="B3:B66" si="0">_xlfn.ISOWEEKNUM(A3)</f>
        <v>22</v>
      </c>
      <c r="C3" s="16" t="s">
        <v>14</v>
      </c>
      <c r="D3" s="26">
        <v>10029</v>
      </c>
      <c r="E3" s="30">
        <v>787101</v>
      </c>
      <c r="F3" s="30">
        <v>707654.63099999994</v>
      </c>
      <c r="G3" s="31">
        <v>112379.26539999999</v>
      </c>
      <c r="H3" s="26" cm="1">
        <f t="array" ref="H3">INDEX(Таблица1[Количество складов],MATCH(1,(Таблица1[Дата]=Лист1!A3)*(Таблица1[Территория]=Лист1!C3),0))</f>
        <v>15</v>
      </c>
      <c r="I3" s="26" cm="1">
        <f t="array" ref="I3">INDEX(Таблица1[Количество заказов],MATCH(1,(Таблица1[Дата]=Лист1!A3)*(Таблица1[Территория]=Лист1!C3),0))</f>
        <v>490</v>
      </c>
      <c r="J3" s="26" cm="1">
        <f t="array" ref="J3">INDEX(Таблица1[Количество клиентов],MATCH(1,(Таблица1[Дата]=Лист1!A3)*(Таблица1[Территория]=Лист1!C3),0))</f>
        <v>409</v>
      </c>
    </row>
    <row r="4" spans="1:10" x14ac:dyDescent="0.3">
      <c r="A4" s="13">
        <v>43979</v>
      </c>
      <c r="B4" s="35">
        <f t="shared" si="0"/>
        <v>22</v>
      </c>
      <c r="C4" s="14" t="s">
        <v>14</v>
      </c>
      <c r="D4" s="25">
        <v>8536.5</v>
      </c>
      <c r="E4" s="28">
        <v>643944</v>
      </c>
      <c r="F4" s="28">
        <v>640961.69299999997</v>
      </c>
      <c r="G4" s="29">
        <v>61475.592307692306</v>
      </c>
      <c r="H4" s="25" cm="1">
        <f t="array" ref="H4">INDEX(Таблица1[Количество складов],MATCH(1,(Таблица1[Дата]=Лист1!A4)*(Таблица1[Территория]=Лист1!C4),0))</f>
        <v>15</v>
      </c>
      <c r="I4" s="25" cm="1">
        <f t="array" ref="I4">INDEX(Таблица1[Количество заказов],MATCH(1,(Таблица1[Дата]=Лист1!A4)*(Таблица1[Территория]=Лист1!C4),0))</f>
        <v>464</v>
      </c>
      <c r="J4" s="25" cm="1">
        <f t="array" ref="J4">INDEX(Таблица1[Количество клиентов],MATCH(1,(Таблица1[Дата]=Лист1!A4)*(Таблица1[Территория]=Лист1!C4),0))</f>
        <v>390</v>
      </c>
    </row>
    <row r="5" spans="1:10" x14ac:dyDescent="0.3">
      <c r="A5" s="15">
        <v>43967</v>
      </c>
      <c r="B5" s="36">
        <f t="shared" si="0"/>
        <v>20</v>
      </c>
      <c r="C5" s="16" t="s">
        <v>6</v>
      </c>
      <c r="D5" s="26">
        <v>38947.5</v>
      </c>
      <c r="E5" s="30">
        <v>3395892</v>
      </c>
      <c r="F5" s="30">
        <v>2740255.2110000001</v>
      </c>
      <c r="G5" s="31">
        <v>294361.0811230769</v>
      </c>
      <c r="H5" s="26" cm="1">
        <f t="array" ref="H5">INDEX(Таблица1[Количество складов],MATCH(1,(Таблица1[Дата]=Лист1!A5)*(Таблица1[Территория]=Лист1!C5),0))</f>
        <v>21</v>
      </c>
      <c r="I5" s="26" cm="1">
        <f t="array" ref="I5">INDEX(Таблица1[Количество заказов],MATCH(1,(Таблица1[Дата]=Лист1!A5)*(Таблица1[Территория]=Лист1!C5),0))</f>
        <v>2145</v>
      </c>
      <c r="J5" s="26" cm="1">
        <f t="array" ref="J5">INDEX(Таблица1[Количество клиентов],MATCH(1,(Таблица1[Дата]=Лист1!A5)*(Таблица1[Территория]=Лист1!C5),0))</f>
        <v>1947</v>
      </c>
    </row>
    <row r="6" spans="1:10" x14ac:dyDescent="0.3">
      <c r="A6" s="13">
        <v>43970</v>
      </c>
      <c r="B6" s="35">
        <f t="shared" si="0"/>
        <v>21</v>
      </c>
      <c r="C6" s="14" t="s">
        <v>6</v>
      </c>
      <c r="D6" s="25">
        <v>31842</v>
      </c>
      <c r="E6" s="28">
        <v>2771116.5</v>
      </c>
      <c r="F6" s="28">
        <v>2269371.4459999995</v>
      </c>
      <c r="G6" s="29">
        <v>328803.84615384613</v>
      </c>
      <c r="H6" s="25" cm="1">
        <f t="array" ref="H6">INDEX(Таблица1[Количество складов],MATCH(1,(Таблица1[Дата]=Лист1!A6)*(Таблица1[Территория]=Лист1!C6),0))</f>
        <v>21</v>
      </c>
      <c r="I6" s="25" cm="1">
        <f t="array" ref="I6">INDEX(Таблица1[Количество заказов],MATCH(1,(Таблица1[Дата]=Лист1!A6)*(Таблица1[Территория]=Лист1!C6),0))</f>
        <v>1860</v>
      </c>
      <c r="J6" s="25" cm="1">
        <f t="array" ref="J6">INDEX(Таблица1[Количество клиентов],MATCH(1,(Таблица1[Дата]=Лист1!A6)*(Таблица1[Территория]=Лист1!C6),0))</f>
        <v>1704</v>
      </c>
    </row>
    <row r="7" spans="1:10" x14ac:dyDescent="0.3">
      <c r="A7" s="15">
        <v>43968</v>
      </c>
      <c r="B7" s="36">
        <f t="shared" si="0"/>
        <v>20</v>
      </c>
      <c r="C7" s="16" t="s">
        <v>6</v>
      </c>
      <c r="D7" s="26">
        <v>32023.5</v>
      </c>
      <c r="E7" s="30">
        <v>2882458.5</v>
      </c>
      <c r="F7" s="30">
        <v>2290967.0389999999</v>
      </c>
      <c r="G7" s="31">
        <v>246817.75113846152</v>
      </c>
      <c r="H7" s="26" cm="1">
        <f t="array" ref="H7">INDEX(Таблица1[Количество складов],MATCH(1,(Таблица1[Дата]=Лист1!A7)*(Таблица1[Территория]=Лист1!C7),0))</f>
        <v>21</v>
      </c>
      <c r="I7" s="26" cm="1">
        <f t="array" ref="I7">INDEX(Таблица1[Количество заказов],MATCH(1,(Таблица1[Дата]=Лист1!A7)*(Таблица1[Территория]=Лист1!C7),0))</f>
        <v>1874</v>
      </c>
      <c r="J7" s="26" cm="1">
        <f t="array" ref="J7">INDEX(Таблица1[Количество клиентов],MATCH(1,(Таблица1[Дата]=Лист1!A7)*(Таблица1[Территория]=Лист1!C7),0))</f>
        <v>1705</v>
      </c>
    </row>
    <row r="8" spans="1:10" x14ac:dyDescent="0.3">
      <c r="A8" s="13">
        <v>43960</v>
      </c>
      <c r="B8" s="35">
        <f t="shared" si="0"/>
        <v>19</v>
      </c>
      <c r="C8" s="14" t="s">
        <v>6</v>
      </c>
      <c r="D8" s="25">
        <v>31147.5</v>
      </c>
      <c r="E8" s="28">
        <v>2831019</v>
      </c>
      <c r="F8" s="28">
        <v>2261296.2760000001</v>
      </c>
      <c r="G8" s="29">
        <v>225845</v>
      </c>
      <c r="H8" s="25" cm="1">
        <f t="array" ref="H8">INDEX(Таблица1[Количество складов],MATCH(1,(Таблица1[Дата]=Лист1!A8)*(Таблица1[Территория]=Лист1!C8),0))</f>
        <v>21</v>
      </c>
      <c r="I8" s="25" cm="1">
        <f t="array" ref="I8">INDEX(Таблица1[Количество заказов],MATCH(1,(Таблица1[Дата]=Лист1!A8)*(Таблица1[Территория]=Лист1!C8),0))</f>
        <v>1735</v>
      </c>
      <c r="J8" s="25" cm="1">
        <f t="array" ref="J8">INDEX(Таблица1[Количество клиентов],MATCH(1,(Таблица1[Дата]=Лист1!A8)*(Таблица1[Территория]=Лист1!C8),0))</f>
        <v>1568</v>
      </c>
    </row>
    <row r="9" spans="1:10" x14ac:dyDescent="0.3">
      <c r="A9" s="15">
        <v>43955</v>
      </c>
      <c r="B9" s="36">
        <f t="shared" si="0"/>
        <v>19</v>
      </c>
      <c r="C9" s="16" t="s">
        <v>6</v>
      </c>
      <c r="D9" s="26">
        <v>25566</v>
      </c>
      <c r="E9" s="30">
        <v>2372310</v>
      </c>
      <c r="F9" s="30">
        <v>1875929.923</v>
      </c>
      <c r="G9" s="31">
        <v>280340.16570000001</v>
      </c>
      <c r="H9" s="26" cm="1">
        <f t="array" ref="H9">INDEX(Таблица1[Количество складов],MATCH(1,(Таблица1[Дата]=Лист1!A9)*(Таблица1[Территория]=Лист1!C9),0))</f>
        <v>20</v>
      </c>
      <c r="I9" s="26" cm="1">
        <f t="array" ref="I9">INDEX(Таблица1[Количество заказов],MATCH(1,(Таблица1[Дата]=Лист1!A9)*(Таблица1[Территория]=Лист1!C9),0))</f>
        <v>1519</v>
      </c>
      <c r="J9" s="26" cm="1">
        <f t="array" ref="J9">INDEX(Таблица1[Количество клиентов],MATCH(1,(Таблица1[Дата]=Лист1!A9)*(Таблица1[Территория]=Лист1!C9),0))</f>
        <v>1372</v>
      </c>
    </row>
    <row r="10" spans="1:10" x14ac:dyDescent="0.3">
      <c r="A10" s="13">
        <v>43950</v>
      </c>
      <c r="B10" s="35">
        <f t="shared" si="0"/>
        <v>18</v>
      </c>
      <c r="C10" s="14" t="s">
        <v>6</v>
      </c>
      <c r="D10" s="25">
        <v>29319</v>
      </c>
      <c r="E10" s="28">
        <v>2623480.5</v>
      </c>
      <c r="F10" s="28">
        <v>2115481.9889999996</v>
      </c>
      <c r="G10" s="29">
        <v>139204.6</v>
      </c>
      <c r="H10" s="25" cm="1">
        <f t="array" ref="H10">INDEX(Таблица1[Количество складов],MATCH(1,(Таблица1[Дата]=Лист1!A10)*(Таблица1[Территория]=Лист1!C10),0))</f>
        <v>18</v>
      </c>
      <c r="I10" s="25" cm="1">
        <f t="array" ref="I10">INDEX(Таблица1[Количество заказов],MATCH(1,(Таблица1[Дата]=Лист1!A10)*(Таблица1[Территория]=Лист1!C10),0))</f>
        <v>1684</v>
      </c>
      <c r="J10" s="25" cm="1">
        <f t="array" ref="J10">INDEX(Таблица1[Количество клиентов],MATCH(1,(Таблица1[Дата]=Лист1!A10)*(Таблица1[Территория]=Лист1!C10),0))</f>
        <v>1528</v>
      </c>
    </row>
    <row r="11" spans="1:10" x14ac:dyDescent="0.3">
      <c r="A11" s="15">
        <v>43953</v>
      </c>
      <c r="B11" s="36">
        <f t="shared" si="0"/>
        <v>18</v>
      </c>
      <c r="C11" s="16" t="s">
        <v>6</v>
      </c>
      <c r="D11" s="26">
        <v>29031</v>
      </c>
      <c r="E11" s="30">
        <v>2711247</v>
      </c>
      <c r="F11" s="30">
        <v>2165434.9249999998</v>
      </c>
      <c r="G11" s="31">
        <v>185484.16923076924</v>
      </c>
      <c r="H11" s="26" cm="1">
        <f t="array" ref="H11">INDEX(Таблица1[Количество складов],MATCH(1,(Таблица1[Дата]=Лист1!A11)*(Таблица1[Территория]=Лист1!C11),0))</f>
        <v>18</v>
      </c>
      <c r="I11" s="26" cm="1">
        <f t="array" ref="I11">INDEX(Таблица1[Количество заказов],MATCH(1,(Таблица1[Дата]=Лист1!A11)*(Таблица1[Территория]=Лист1!C11),0))</f>
        <v>1708</v>
      </c>
      <c r="J11" s="26" cm="1">
        <f t="array" ref="J11">INDEX(Таблица1[Количество клиентов],MATCH(1,(Таблица1[Дата]=Лист1!A11)*(Таблица1[Территория]=Лист1!C11),0))</f>
        <v>1534</v>
      </c>
    </row>
    <row r="12" spans="1:10" x14ac:dyDescent="0.3">
      <c r="A12" s="13">
        <v>43977</v>
      </c>
      <c r="B12" s="35">
        <f t="shared" si="0"/>
        <v>22</v>
      </c>
      <c r="C12" s="14" t="s">
        <v>6</v>
      </c>
      <c r="D12" s="25">
        <v>33423</v>
      </c>
      <c r="E12" s="28">
        <v>2970330</v>
      </c>
      <c r="F12" s="28">
        <v>2395998.3769999999</v>
      </c>
      <c r="G12" s="29">
        <v>259067.63954615386</v>
      </c>
      <c r="H12" s="25" cm="1">
        <f t="array" ref="H12">INDEX(Таблица1[Количество складов],MATCH(1,(Таблица1[Дата]=Лист1!A12)*(Таблица1[Территория]=Лист1!C12),0))</f>
        <v>20</v>
      </c>
      <c r="I12" s="25" cm="1">
        <f t="array" ref="I12">INDEX(Таблица1[Количество заказов],MATCH(1,(Таблица1[Дата]=Лист1!A12)*(Таблица1[Территория]=Лист1!C12),0))</f>
        <v>2044</v>
      </c>
      <c r="J12" s="25" cm="1">
        <f t="array" ref="J12">INDEX(Таблица1[Количество клиентов],MATCH(1,(Таблица1[Дата]=Лист1!A12)*(Таблица1[Территория]=Лист1!C12),0))</f>
        <v>1863</v>
      </c>
    </row>
    <row r="13" spans="1:10" x14ac:dyDescent="0.3">
      <c r="A13" s="15">
        <v>43952</v>
      </c>
      <c r="B13" s="36">
        <f t="shared" si="0"/>
        <v>18</v>
      </c>
      <c r="C13" s="16" t="s">
        <v>6</v>
      </c>
      <c r="D13" s="26">
        <v>32487</v>
      </c>
      <c r="E13" s="30">
        <v>3031254</v>
      </c>
      <c r="F13" s="30">
        <v>2397503.37</v>
      </c>
      <c r="G13" s="31">
        <v>232079.84750769229</v>
      </c>
      <c r="H13" s="26" cm="1">
        <f t="array" ref="H13">INDEX(Таблица1[Количество складов],MATCH(1,(Таблица1[Дата]=Лист1!A13)*(Таблица1[Территория]=Лист1!C13),0))</f>
        <v>18</v>
      </c>
      <c r="I13" s="26" cm="1">
        <f t="array" ref="I13">INDEX(Таблица1[Количество заказов],MATCH(1,(Таблица1[Дата]=Лист1!A13)*(Таблица1[Территория]=Лист1!C13),0))</f>
        <v>1826</v>
      </c>
      <c r="J13" s="26" cm="1">
        <f t="array" ref="J13">INDEX(Таблица1[Количество клиентов],MATCH(1,(Таблица1[Дата]=Лист1!A13)*(Таблица1[Территория]=Лист1!C13),0))</f>
        <v>1633</v>
      </c>
    </row>
    <row r="14" spans="1:10" x14ac:dyDescent="0.3">
      <c r="A14" s="13">
        <v>43963</v>
      </c>
      <c r="B14" s="35">
        <f t="shared" si="0"/>
        <v>20</v>
      </c>
      <c r="C14" s="14" t="s">
        <v>6</v>
      </c>
      <c r="D14" s="25">
        <v>28219.5</v>
      </c>
      <c r="E14" s="28">
        <v>2595778.5</v>
      </c>
      <c r="F14" s="28">
        <v>2050101.9780000001</v>
      </c>
      <c r="G14" s="29">
        <v>309760.33573076921</v>
      </c>
      <c r="H14" s="25" cm="1">
        <f t="array" ref="H14">INDEX(Таблица1[Количество складов],MATCH(1,(Таблица1[Дата]=Лист1!A14)*(Таблица1[Территория]=Лист1!C14),0))</f>
        <v>21</v>
      </c>
      <c r="I14" s="25" cm="1">
        <f t="array" ref="I14">INDEX(Таблица1[Количество заказов],MATCH(1,(Таблица1[Дата]=Лист1!A14)*(Таблица1[Территория]=Лист1!C14),0))</f>
        <v>1656</v>
      </c>
      <c r="J14" s="25" cm="1">
        <f t="array" ref="J14">INDEX(Таблица1[Количество клиентов],MATCH(1,(Таблица1[Дата]=Лист1!A14)*(Таблица1[Территория]=Лист1!C14),0))</f>
        <v>1516</v>
      </c>
    </row>
    <row r="15" spans="1:10" x14ac:dyDescent="0.3">
      <c r="A15" s="15">
        <v>43972</v>
      </c>
      <c r="B15" s="36">
        <f t="shared" si="0"/>
        <v>21</v>
      </c>
      <c r="C15" s="16" t="s">
        <v>6</v>
      </c>
      <c r="D15" s="26">
        <v>31272</v>
      </c>
      <c r="E15" s="30">
        <v>2744382</v>
      </c>
      <c r="F15" s="30">
        <v>2257728.2139999997</v>
      </c>
      <c r="G15" s="31">
        <v>301623.79230769229</v>
      </c>
      <c r="H15" s="26" cm="1">
        <f t="array" ref="H15">INDEX(Таблица1[Количество складов],MATCH(1,(Таблица1[Дата]=Лист1!A15)*(Таблица1[Территория]=Лист1!C15),0))</f>
        <v>21</v>
      </c>
      <c r="I15" s="26" cm="1">
        <f t="array" ref="I15">INDEX(Таблица1[Количество заказов],MATCH(1,(Таблица1[Дата]=Лист1!A15)*(Таблица1[Территория]=Лист1!C15),0))</f>
        <v>1787</v>
      </c>
      <c r="J15" s="26" cm="1">
        <f t="array" ref="J15">INDEX(Таблица1[Количество клиентов],MATCH(1,(Таблица1[Дата]=Лист1!A15)*(Таблица1[Территория]=Лист1!C15),0))</f>
        <v>1626</v>
      </c>
    </row>
    <row r="16" spans="1:10" x14ac:dyDescent="0.3">
      <c r="A16" s="13">
        <v>43971</v>
      </c>
      <c r="B16" s="35">
        <f t="shared" si="0"/>
        <v>21</v>
      </c>
      <c r="C16" s="14" t="s">
        <v>6</v>
      </c>
      <c r="D16" s="25">
        <v>34077</v>
      </c>
      <c r="E16" s="28">
        <v>2929330.5</v>
      </c>
      <c r="F16" s="28">
        <v>2389543.5279999999</v>
      </c>
      <c r="G16" s="29">
        <v>459604.90796153841</v>
      </c>
      <c r="H16" s="25" cm="1">
        <f t="array" ref="H16">INDEX(Таблица1[Количество складов],MATCH(1,(Таблица1[Дата]=Лист1!A16)*(Таблица1[Территория]=Лист1!C16),0))</f>
        <v>21</v>
      </c>
      <c r="I16" s="25" cm="1">
        <f t="array" ref="I16">INDEX(Таблица1[Количество заказов],MATCH(1,(Таблица1[Дата]=Лист1!A16)*(Таблица1[Территория]=Лист1!C16),0))</f>
        <v>1921</v>
      </c>
      <c r="J16" s="25" cm="1">
        <f t="array" ref="J16">INDEX(Таблица1[Количество клиентов],MATCH(1,(Таблица1[Дата]=Лист1!A16)*(Таблица1[Территория]=Лист1!C16),0))</f>
        <v>1767</v>
      </c>
    </row>
    <row r="17" spans="1:10" x14ac:dyDescent="0.3">
      <c r="A17" s="15">
        <v>43956</v>
      </c>
      <c r="B17" s="36">
        <f t="shared" si="0"/>
        <v>19</v>
      </c>
      <c r="C17" s="16" t="s">
        <v>6</v>
      </c>
      <c r="D17" s="26">
        <v>31566</v>
      </c>
      <c r="E17" s="30">
        <v>2906763</v>
      </c>
      <c r="F17" s="30">
        <v>2323003.267</v>
      </c>
      <c r="G17" s="31">
        <v>287619.52953846153</v>
      </c>
      <c r="H17" s="26" cm="1">
        <f t="array" ref="H17">INDEX(Таблица1[Количество складов],MATCH(1,(Таблица1[Дата]=Лист1!A17)*(Таблица1[Территория]=Лист1!C17),0))</f>
        <v>20</v>
      </c>
      <c r="I17" s="26" cm="1">
        <f t="array" ref="I17">INDEX(Таблица1[Количество заказов],MATCH(1,(Таблица1[Дата]=Лист1!A17)*(Таблица1[Территория]=Лист1!C17),0))</f>
        <v>1773</v>
      </c>
      <c r="J17" s="26" cm="1">
        <f t="array" ref="J17">INDEX(Таблица1[Количество клиентов],MATCH(1,(Таблица1[Дата]=Лист1!A17)*(Таблица1[Территория]=Лист1!C17),0))</f>
        <v>1604</v>
      </c>
    </row>
    <row r="18" spans="1:10" x14ac:dyDescent="0.3">
      <c r="A18" s="13">
        <v>43949</v>
      </c>
      <c r="B18" s="35">
        <f t="shared" si="0"/>
        <v>18</v>
      </c>
      <c r="C18" s="14" t="s">
        <v>6</v>
      </c>
      <c r="D18" s="25">
        <v>26940</v>
      </c>
      <c r="E18" s="28">
        <v>2411587.5</v>
      </c>
      <c r="F18" s="28">
        <v>1931011.4870000002</v>
      </c>
      <c r="G18" s="29">
        <v>149032.79178461537</v>
      </c>
      <c r="H18" s="25" cm="1">
        <f t="array" ref="H18">INDEX(Таблица1[Количество складов],MATCH(1,(Таблица1[Дата]=Лист1!A18)*(Таблица1[Территория]=Лист1!C18),0))</f>
        <v>18</v>
      </c>
      <c r="I18" s="25" cm="1">
        <f t="array" ref="I18">INDEX(Таблица1[Количество заказов],MATCH(1,(Таблица1[Дата]=Лист1!A18)*(Таблица1[Территория]=Лист1!C18),0))</f>
        <v>1539</v>
      </c>
      <c r="J18" s="25" cm="1">
        <f t="array" ref="J18">INDEX(Таблица1[Количество клиентов],MATCH(1,(Таблица1[Дата]=Лист1!A18)*(Таблица1[Территория]=Лист1!C18),0))</f>
        <v>1404</v>
      </c>
    </row>
    <row r="19" spans="1:10" x14ac:dyDescent="0.3">
      <c r="A19" s="15">
        <v>43964</v>
      </c>
      <c r="B19" s="36">
        <f t="shared" si="0"/>
        <v>20</v>
      </c>
      <c r="C19" s="16" t="s">
        <v>6</v>
      </c>
      <c r="D19" s="26">
        <v>29241</v>
      </c>
      <c r="E19" s="30">
        <v>2629782</v>
      </c>
      <c r="F19" s="30">
        <v>2071714.7239999999</v>
      </c>
      <c r="G19" s="31">
        <v>361201.8010384615</v>
      </c>
      <c r="H19" s="26" cm="1">
        <f t="array" ref="H19">INDEX(Таблица1[Количество складов],MATCH(1,(Таблица1[Дата]=Лист1!A19)*(Таблица1[Территория]=Лист1!C19),0))</f>
        <v>21</v>
      </c>
      <c r="I19" s="26" cm="1">
        <f t="array" ref="I19">INDEX(Таблица1[Количество заказов],MATCH(1,(Таблица1[Дата]=Лист1!A19)*(Таблица1[Территория]=Лист1!C19),0))</f>
        <v>1698</v>
      </c>
      <c r="J19" s="26" cm="1">
        <f t="array" ref="J19">INDEX(Таблица1[Количество клиентов],MATCH(1,(Таблица1[Дата]=Лист1!A19)*(Таблица1[Территория]=Лист1!C19),0))</f>
        <v>1554</v>
      </c>
    </row>
    <row r="20" spans="1:10" x14ac:dyDescent="0.3">
      <c r="A20" s="13">
        <v>43954</v>
      </c>
      <c r="B20" s="35">
        <f t="shared" si="0"/>
        <v>18</v>
      </c>
      <c r="C20" s="14" t="s">
        <v>6</v>
      </c>
      <c r="D20" s="25">
        <v>26082</v>
      </c>
      <c r="E20" s="28">
        <v>2434914</v>
      </c>
      <c r="F20" s="28">
        <v>1925475.1139999998</v>
      </c>
      <c r="G20" s="29">
        <v>247646.60936153846</v>
      </c>
      <c r="H20" s="25" cm="1">
        <f t="array" ref="H20">INDEX(Таблица1[Количество складов],MATCH(1,(Таблица1[Дата]=Лист1!A20)*(Таблица1[Территория]=Лист1!C20),0))</f>
        <v>20</v>
      </c>
      <c r="I20" s="25" cm="1">
        <f t="array" ref="I20">INDEX(Таблица1[Количество заказов],MATCH(1,(Таблица1[Дата]=Лист1!A20)*(Таблица1[Территория]=Лист1!C20),0))</f>
        <v>1520</v>
      </c>
      <c r="J20" s="25" cm="1">
        <f t="array" ref="J20">INDEX(Таблица1[Количество клиентов],MATCH(1,(Таблица1[Дата]=Лист1!A20)*(Таблица1[Территория]=Лист1!C20),0))</f>
        <v>1373</v>
      </c>
    </row>
    <row r="21" spans="1:10" x14ac:dyDescent="0.3">
      <c r="A21" s="15">
        <v>43957</v>
      </c>
      <c r="B21" s="36">
        <f t="shared" si="0"/>
        <v>19</v>
      </c>
      <c r="C21" s="16" t="s">
        <v>6</v>
      </c>
      <c r="D21" s="26">
        <v>32511</v>
      </c>
      <c r="E21" s="30">
        <v>2938623</v>
      </c>
      <c r="F21" s="30">
        <v>2406562.0579999997</v>
      </c>
      <c r="G21" s="31">
        <v>306098.4769230769</v>
      </c>
      <c r="H21" s="26" cm="1">
        <f t="array" ref="H21">INDEX(Таблица1[Количество складов],MATCH(1,(Таблица1[Дата]=Лист1!A21)*(Таблица1[Территория]=Лист1!C21),0))</f>
        <v>20</v>
      </c>
      <c r="I21" s="26" cm="1">
        <f t="array" ref="I21">INDEX(Таблица1[Количество заказов],MATCH(1,(Таблица1[Дата]=Лист1!A21)*(Таблица1[Территория]=Лист1!C21),0))</f>
        <v>1784</v>
      </c>
      <c r="J21" s="26" cm="1">
        <f t="array" ref="J21">INDEX(Таблица1[Количество клиентов],MATCH(1,(Таблица1[Дата]=Лист1!A21)*(Таблица1[Территория]=Лист1!C21),0))</f>
        <v>1632</v>
      </c>
    </row>
    <row r="22" spans="1:10" x14ac:dyDescent="0.3">
      <c r="A22" s="13">
        <v>43974</v>
      </c>
      <c r="B22" s="35">
        <f t="shared" si="0"/>
        <v>21</v>
      </c>
      <c r="C22" s="14" t="s">
        <v>6</v>
      </c>
      <c r="D22" s="25">
        <v>42703.5</v>
      </c>
      <c r="E22" s="28">
        <v>3628726.5</v>
      </c>
      <c r="F22" s="28">
        <v>3056063.7349999999</v>
      </c>
      <c r="G22" s="29">
        <v>223670.01693846151</v>
      </c>
      <c r="H22" s="25" cm="1">
        <f t="array" ref="H22">INDEX(Таблица1[Количество складов],MATCH(1,(Таблица1[Дата]=Лист1!A22)*(Таблица1[Территория]=Лист1!C22),0))</f>
        <v>21</v>
      </c>
      <c r="I22" s="25" cm="1">
        <f t="array" ref="I22">INDEX(Таблица1[Количество заказов],MATCH(1,(Таблица1[Дата]=Лист1!A22)*(Таблица1[Территория]=Лист1!C22),0))</f>
        <v>2340</v>
      </c>
      <c r="J22" s="25" cm="1">
        <f t="array" ref="J22">INDEX(Таблица1[Количество клиентов],MATCH(1,(Таблица1[Дата]=Лист1!A22)*(Таблица1[Территория]=Лист1!C22),0))</f>
        <v>2146</v>
      </c>
    </row>
    <row r="23" spans="1:10" x14ac:dyDescent="0.3">
      <c r="A23" s="15">
        <v>43976</v>
      </c>
      <c r="B23" s="36">
        <f t="shared" si="0"/>
        <v>22</v>
      </c>
      <c r="C23" s="16" t="s">
        <v>6</v>
      </c>
      <c r="D23" s="26">
        <v>35592</v>
      </c>
      <c r="E23" s="30">
        <v>3176580</v>
      </c>
      <c r="F23" s="30">
        <v>2540760.0409999997</v>
      </c>
      <c r="G23" s="31">
        <v>351098.05384615384</v>
      </c>
      <c r="H23" s="26" cm="1">
        <f t="array" ref="H23">INDEX(Таблица1[Количество складов],MATCH(1,(Таблица1[Дата]=Лист1!A23)*(Таблица1[Территория]=Лист1!C23),0))</f>
        <v>20</v>
      </c>
      <c r="I23" s="26" cm="1">
        <f t="array" ref="I23">INDEX(Таблица1[Количество заказов],MATCH(1,(Таблица1[Дата]=Лист1!A23)*(Таблица1[Территория]=Лист1!C23),0))</f>
        <v>2087</v>
      </c>
      <c r="J23" s="26" cm="1">
        <f t="array" ref="J23">INDEX(Таблица1[Количество клиентов],MATCH(1,(Таблица1[Дата]=Лист1!A23)*(Таблица1[Территория]=Лист1!C23),0))</f>
        <v>1914</v>
      </c>
    </row>
    <row r="24" spans="1:10" x14ac:dyDescent="0.3">
      <c r="A24" s="13">
        <v>43951</v>
      </c>
      <c r="B24" s="35">
        <f t="shared" si="0"/>
        <v>18</v>
      </c>
      <c r="C24" s="14" t="s">
        <v>6</v>
      </c>
      <c r="D24" s="25">
        <v>30445.5</v>
      </c>
      <c r="E24" s="28">
        <v>2817196.5</v>
      </c>
      <c r="F24" s="28">
        <v>2244503.1999999997</v>
      </c>
      <c r="G24" s="29">
        <v>203231.46096923074</v>
      </c>
      <c r="H24" s="25" cm="1">
        <f t="array" ref="H24">INDEX(Таблица1[Количество складов],MATCH(1,(Таблица1[Дата]=Лист1!A24)*(Таблица1[Территория]=Лист1!C24),0))</f>
        <v>19</v>
      </c>
      <c r="I24" s="25" cm="1">
        <f t="array" ref="I24">INDEX(Таблица1[Количество заказов],MATCH(1,(Таблица1[Дата]=Лист1!A24)*(Таблица1[Территория]=Лист1!C24),0))</f>
        <v>1712</v>
      </c>
      <c r="J24" s="25" cm="1">
        <f t="array" ref="J24">INDEX(Таблица1[Количество клиентов],MATCH(1,(Таблица1[Дата]=Лист1!A24)*(Таблица1[Территория]=Лист1!C24),0))</f>
        <v>1552</v>
      </c>
    </row>
    <row r="25" spans="1:10" x14ac:dyDescent="0.3">
      <c r="A25" s="15">
        <v>43961</v>
      </c>
      <c r="B25" s="36">
        <f t="shared" si="0"/>
        <v>19</v>
      </c>
      <c r="C25" s="16" t="s">
        <v>6</v>
      </c>
      <c r="D25" s="26">
        <v>36619.5</v>
      </c>
      <c r="E25" s="30">
        <v>3312967.5</v>
      </c>
      <c r="F25" s="30">
        <v>2647972.3429999999</v>
      </c>
      <c r="G25" s="31">
        <v>371661.65384615387</v>
      </c>
      <c r="H25" s="26" cm="1">
        <f t="array" ref="H25">INDEX(Таблица1[Количество складов],MATCH(1,(Таблица1[Дата]=Лист1!A25)*(Таблица1[Территория]=Лист1!C25),0))</f>
        <v>21</v>
      </c>
      <c r="I25" s="26" cm="1">
        <f t="array" ref="I25">INDEX(Таблица1[Количество заказов],MATCH(1,(Таблица1[Дата]=Лист1!A25)*(Таблица1[Территория]=Лист1!C25),0))</f>
        <v>2016</v>
      </c>
      <c r="J25" s="26" cm="1">
        <f t="array" ref="J25">INDEX(Таблица1[Количество клиентов],MATCH(1,(Таблица1[Дата]=Лист1!A25)*(Таблица1[Территория]=Лист1!C25),0))</f>
        <v>1846</v>
      </c>
    </row>
    <row r="26" spans="1:10" x14ac:dyDescent="0.3">
      <c r="A26" s="13">
        <v>43959</v>
      </c>
      <c r="B26" s="35">
        <f t="shared" si="0"/>
        <v>19</v>
      </c>
      <c r="C26" s="14" t="s">
        <v>6</v>
      </c>
      <c r="D26" s="25">
        <v>29409</v>
      </c>
      <c r="E26" s="28">
        <v>2645160</v>
      </c>
      <c r="F26" s="28">
        <v>2133443.3049999997</v>
      </c>
      <c r="G26" s="29">
        <v>355537.44449230767</v>
      </c>
      <c r="H26" s="25" cm="1">
        <f t="array" ref="H26">INDEX(Таблица1[Количество складов],MATCH(1,(Таблица1[Дата]=Лист1!A26)*(Таблица1[Территория]=Лист1!C26),0))</f>
        <v>21</v>
      </c>
      <c r="I26" s="25" cm="1">
        <f t="array" ref="I26">INDEX(Таблица1[Количество заказов],MATCH(1,(Таблица1[Дата]=Лист1!A26)*(Таблица1[Территория]=Лист1!C26),0))</f>
        <v>1646</v>
      </c>
      <c r="J26" s="25" cm="1">
        <f t="array" ref="J26">INDEX(Таблица1[Количество клиентов],MATCH(1,(Таблица1[Дата]=Лист1!A26)*(Таблица1[Территория]=Лист1!C26),0))</f>
        <v>1492</v>
      </c>
    </row>
    <row r="27" spans="1:10" x14ac:dyDescent="0.3">
      <c r="A27" s="15">
        <v>43958</v>
      </c>
      <c r="B27" s="36">
        <f t="shared" si="0"/>
        <v>19</v>
      </c>
      <c r="C27" s="16" t="s">
        <v>6</v>
      </c>
      <c r="D27" s="26">
        <v>27018</v>
      </c>
      <c r="E27" s="30">
        <v>2472213</v>
      </c>
      <c r="F27" s="30">
        <v>2000889.9870000002</v>
      </c>
      <c r="G27" s="31">
        <v>283287.86923076923</v>
      </c>
      <c r="H27" s="26" cm="1">
        <f t="array" ref="H27">INDEX(Таблица1[Количество складов],MATCH(1,(Таблица1[Дата]=Лист1!A27)*(Таблица1[Территория]=Лист1!C27),0))</f>
        <v>21</v>
      </c>
      <c r="I27" s="26" cm="1">
        <f t="array" ref="I27">INDEX(Таблица1[Количество заказов],MATCH(1,(Таблица1[Дата]=Лист1!A27)*(Таблица1[Территория]=Лист1!C27),0))</f>
        <v>1542</v>
      </c>
      <c r="J27" s="26" cm="1">
        <f t="array" ref="J27">INDEX(Таблица1[Количество клиентов],MATCH(1,(Таблица1[Дата]=Лист1!A27)*(Таблица1[Территория]=Лист1!C27),0))</f>
        <v>1405</v>
      </c>
    </row>
    <row r="28" spans="1:10" x14ac:dyDescent="0.3">
      <c r="A28" s="13">
        <v>43975</v>
      </c>
      <c r="B28" s="35">
        <f t="shared" si="0"/>
        <v>21</v>
      </c>
      <c r="C28" s="14" t="s">
        <v>6</v>
      </c>
      <c r="D28" s="25">
        <v>34303.5</v>
      </c>
      <c r="E28" s="28">
        <v>2924746.5</v>
      </c>
      <c r="F28" s="28">
        <v>2399312.9350000001</v>
      </c>
      <c r="G28" s="29">
        <v>282325.24615384615</v>
      </c>
      <c r="H28" s="25" cm="1">
        <f t="array" ref="H28">INDEX(Таблица1[Количество складов],MATCH(1,(Таблица1[Дата]=Лист1!A28)*(Таблица1[Территория]=Лист1!C28),0))</f>
        <v>20</v>
      </c>
      <c r="I28" s="25" cm="1">
        <f t="array" ref="I28">INDEX(Таблица1[Количество заказов],MATCH(1,(Таблица1[Дата]=Лист1!A28)*(Таблица1[Территория]=Лист1!C28),0))</f>
        <v>1999</v>
      </c>
      <c r="J28" s="25" cm="1">
        <f t="array" ref="J28">INDEX(Таблица1[Количество клиентов],MATCH(1,(Таблица1[Дата]=Лист1!A28)*(Таблица1[Территория]=Лист1!C28),0))</f>
        <v>1829</v>
      </c>
    </row>
    <row r="29" spans="1:10" x14ac:dyDescent="0.3">
      <c r="A29" s="15">
        <v>43982</v>
      </c>
      <c r="B29" s="36">
        <f t="shared" si="0"/>
        <v>22</v>
      </c>
      <c r="C29" s="16" t="s">
        <v>6</v>
      </c>
      <c r="D29" s="26">
        <v>36999</v>
      </c>
      <c r="E29" s="30">
        <v>3473895</v>
      </c>
      <c r="F29" s="30">
        <v>2757933.63</v>
      </c>
      <c r="G29" s="31">
        <v>112971.77692307692</v>
      </c>
      <c r="H29" s="26" cm="1">
        <f t="array" ref="H29">INDEX(Таблица1[Количество складов],MATCH(1,(Таблица1[Дата]=Лист1!A29)*(Таблица1[Территория]=Лист1!C29),0))</f>
        <v>21</v>
      </c>
      <c r="I29" s="26" cm="1">
        <f t="array" ref="I29">INDEX(Таблица1[Количество заказов],MATCH(1,(Таблица1[Дата]=Лист1!A29)*(Таблица1[Территория]=Лист1!C29),0))</f>
        <v>2271</v>
      </c>
      <c r="J29" s="26" cm="1">
        <f t="array" ref="J29">INDEX(Таблица1[Количество клиентов],MATCH(1,(Таблица1[Дата]=Лист1!A29)*(Таблица1[Территория]=Лист1!C29),0))</f>
        <v>2085</v>
      </c>
    </row>
    <row r="30" spans="1:10" x14ac:dyDescent="0.3">
      <c r="A30" s="13">
        <v>43981</v>
      </c>
      <c r="B30" s="35">
        <f t="shared" si="0"/>
        <v>22</v>
      </c>
      <c r="C30" s="14" t="s">
        <v>6</v>
      </c>
      <c r="D30" s="25">
        <v>44001</v>
      </c>
      <c r="E30" s="28">
        <v>3921784.5</v>
      </c>
      <c r="F30" s="28">
        <v>3132604.841</v>
      </c>
      <c r="G30" s="29">
        <v>242715.26253846151</v>
      </c>
      <c r="H30" s="25" cm="1">
        <f t="array" ref="H30">INDEX(Таблица1[Количество складов],MATCH(1,(Таблица1[Дата]=Лист1!A30)*(Таблица1[Территория]=Лист1!C30),0))</f>
        <v>20</v>
      </c>
      <c r="I30" s="25" cm="1">
        <f t="array" ref="I30">INDEX(Таблица1[Количество заказов],MATCH(1,(Таблица1[Дата]=Лист1!A30)*(Таблица1[Территория]=Лист1!C30),0))</f>
        <v>2597</v>
      </c>
      <c r="J30" s="25" cm="1">
        <f t="array" ref="J30">INDEX(Таблица1[Количество клиентов],MATCH(1,(Таблица1[Дата]=Лист1!A30)*(Таблица1[Территория]=Лист1!C30),0))</f>
        <v>2376</v>
      </c>
    </row>
    <row r="31" spans="1:10" x14ac:dyDescent="0.3">
      <c r="A31" s="15">
        <v>43979</v>
      </c>
      <c r="B31" s="36">
        <f t="shared" si="0"/>
        <v>22</v>
      </c>
      <c r="C31" s="16" t="s">
        <v>6</v>
      </c>
      <c r="D31" s="26">
        <v>30982.5</v>
      </c>
      <c r="E31" s="30">
        <v>2827773</v>
      </c>
      <c r="F31" s="30">
        <v>2232253.034</v>
      </c>
      <c r="G31" s="31">
        <v>343211.54262307688</v>
      </c>
      <c r="H31" s="26" cm="1">
        <f t="array" ref="H31">INDEX(Таблица1[Количество складов],MATCH(1,(Таблица1[Дата]=Лист1!A31)*(Таблица1[Территория]=Лист1!C31),0))</f>
        <v>20</v>
      </c>
      <c r="I31" s="26" cm="1">
        <f t="array" ref="I31">INDEX(Таблица1[Количество заказов],MATCH(1,(Таблица1[Дата]=Лист1!A31)*(Таблица1[Территория]=Лист1!C31),0))</f>
        <v>1886</v>
      </c>
      <c r="J31" s="26" cm="1">
        <f t="array" ref="J31">INDEX(Таблица1[Количество клиентов],MATCH(1,(Таблица1[Дата]=Лист1!A31)*(Таблица1[Территория]=Лист1!C31),0))</f>
        <v>1736</v>
      </c>
    </row>
    <row r="32" spans="1:10" x14ac:dyDescent="0.3">
      <c r="A32" s="13">
        <v>43967</v>
      </c>
      <c r="B32" s="35">
        <f t="shared" si="0"/>
        <v>20</v>
      </c>
      <c r="C32" s="14" t="s">
        <v>4</v>
      </c>
      <c r="D32" s="25">
        <v>88063.5</v>
      </c>
      <c r="E32" s="28">
        <v>7583758.5</v>
      </c>
      <c r="F32" s="28">
        <v>5779076.7979999995</v>
      </c>
      <c r="G32" s="29">
        <v>152384.93586153846</v>
      </c>
      <c r="H32" s="25" cm="1">
        <f t="array" ref="H32">INDEX(Таблица1[Количество складов],MATCH(1,(Таблица1[Дата]=Лист1!A32)*(Таблица1[Территория]=Лист1!C32),0))</f>
        <v>31</v>
      </c>
      <c r="I32" s="25" cm="1">
        <f t="array" ref="I32">INDEX(Таблица1[Количество заказов],MATCH(1,(Таблица1[Дата]=Лист1!A32)*(Таблица1[Территория]=Лист1!C32),0))</f>
        <v>5593</v>
      </c>
      <c r="J32" s="25" cm="1">
        <f t="array" ref="J32">INDEX(Таблица1[Количество клиентов],MATCH(1,(Таблица1[Дата]=Лист1!A32)*(Таблица1[Территория]=Лист1!C32),0))</f>
        <v>5177</v>
      </c>
    </row>
    <row r="33" spans="1:10" x14ac:dyDescent="0.3">
      <c r="A33" s="15">
        <v>43970</v>
      </c>
      <c r="B33" s="36">
        <f t="shared" si="0"/>
        <v>21</v>
      </c>
      <c r="C33" s="16" t="s">
        <v>4</v>
      </c>
      <c r="D33" s="26">
        <v>84024</v>
      </c>
      <c r="E33" s="30">
        <v>6815511</v>
      </c>
      <c r="F33" s="30">
        <v>5426339.5819999995</v>
      </c>
      <c r="G33" s="31">
        <v>195070.25003076921</v>
      </c>
      <c r="H33" s="26" cm="1">
        <f t="array" ref="H33">INDEX(Таблица1[Количество складов],MATCH(1,(Таблица1[Дата]=Лист1!A33)*(Таблица1[Территория]=Лист1!C33),0))</f>
        <v>31</v>
      </c>
      <c r="I33" s="26" cm="1">
        <f t="array" ref="I33">INDEX(Таблица1[Количество заказов],MATCH(1,(Таблица1[Дата]=Лист1!A33)*(Таблица1[Территория]=Лист1!C33),0))</f>
        <v>5389</v>
      </c>
      <c r="J33" s="26" cm="1">
        <f t="array" ref="J33">INDEX(Таблица1[Количество клиентов],MATCH(1,(Таблица1[Дата]=Лист1!A33)*(Таблица1[Территория]=Лист1!C33),0))</f>
        <v>5024</v>
      </c>
    </row>
    <row r="34" spans="1:10" x14ac:dyDescent="0.3">
      <c r="A34" s="13">
        <v>43968</v>
      </c>
      <c r="B34" s="35">
        <f t="shared" si="0"/>
        <v>20</v>
      </c>
      <c r="C34" s="14" t="s">
        <v>4</v>
      </c>
      <c r="D34" s="25">
        <v>78057</v>
      </c>
      <c r="E34" s="28">
        <v>6774946.5</v>
      </c>
      <c r="F34" s="28">
        <v>5115462.4009999996</v>
      </c>
      <c r="G34" s="29">
        <v>61149.515384615377</v>
      </c>
      <c r="H34" s="25" cm="1">
        <f t="array" ref="H34">INDEX(Таблица1[Количество складов],MATCH(1,(Таблица1[Дата]=Лист1!A34)*(Таблица1[Территория]=Лист1!C34),0))</f>
        <v>31</v>
      </c>
      <c r="I34" s="25" cm="1">
        <f t="array" ref="I34">INDEX(Таблица1[Количество заказов],MATCH(1,(Таблица1[Дата]=Лист1!A34)*(Таблица1[Территория]=Лист1!C34),0))</f>
        <v>5206</v>
      </c>
      <c r="J34" s="25" cm="1">
        <f t="array" ref="J34">INDEX(Таблица1[Количество клиентов],MATCH(1,(Таблица1[Дата]=Лист1!A34)*(Таблица1[Территория]=Лист1!C34),0))</f>
        <v>4843</v>
      </c>
    </row>
    <row r="35" spans="1:10" x14ac:dyDescent="0.3">
      <c r="A35" s="15">
        <v>43960</v>
      </c>
      <c r="B35" s="36">
        <f t="shared" si="0"/>
        <v>19</v>
      </c>
      <c r="C35" s="16" t="s">
        <v>4</v>
      </c>
      <c r="D35" s="26">
        <v>69720</v>
      </c>
      <c r="E35" s="30">
        <v>6264933</v>
      </c>
      <c r="F35" s="30">
        <v>4726931.9569999995</v>
      </c>
      <c r="G35" s="31">
        <v>294634.35530769231</v>
      </c>
      <c r="H35" s="26" cm="1">
        <f t="array" ref="H35">INDEX(Таблица1[Количество складов],MATCH(1,(Таблица1[Дата]=Лист1!A35)*(Таблица1[Территория]=Лист1!C35),0))</f>
        <v>31</v>
      </c>
      <c r="I35" s="26" cm="1">
        <f t="array" ref="I35">INDEX(Таблица1[Количество заказов],MATCH(1,(Таблица1[Дата]=Лист1!A35)*(Таблица1[Территория]=Лист1!C35),0))</f>
        <v>4556</v>
      </c>
      <c r="J35" s="26" cm="1">
        <f t="array" ref="J35">INDEX(Таблица1[Количество клиентов],MATCH(1,(Таблица1[Дата]=Лист1!A35)*(Таблица1[Территория]=Лист1!C35),0))</f>
        <v>4220</v>
      </c>
    </row>
    <row r="36" spans="1:10" x14ac:dyDescent="0.3">
      <c r="A36" s="13">
        <v>43955</v>
      </c>
      <c r="B36" s="35">
        <f t="shared" si="0"/>
        <v>19</v>
      </c>
      <c r="C36" s="14" t="s">
        <v>4</v>
      </c>
      <c r="D36" s="25">
        <v>72928.5</v>
      </c>
      <c r="E36" s="28">
        <v>6642249</v>
      </c>
      <c r="F36" s="28">
        <v>4993791.9560000002</v>
      </c>
      <c r="G36" s="29">
        <v>215294.37692307692</v>
      </c>
      <c r="H36" s="25" cm="1">
        <f t="array" ref="H36">INDEX(Таблица1[Количество складов],MATCH(1,(Таблица1[Дата]=Лист1!A36)*(Таблица1[Территория]=Лист1!C36),0))</f>
        <v>31</v>
      </c>
      <c r="I36" s="25" cm="1">
        <f t="array" ref="I36">INDEX(Таблица1[Количество заказов],MATCH(1,(Таблица1[Дата]=Лист1!A36)*(Таблица1[Территория]=Лист1!C36),0))</f>
        <v>4968</v>
      </c>
      <c r="J36" s="25" cm="1">
        <f t="array" ref="J36">INDEX(Таблица1[Количество клиентов],MATCH(1,(Таблица1[Дата]=Лист1!A36)*(Таблица1[Территория]=Лист1!C36),0))</f>
        <v>4596</v>
      </c>
    </row>
    <row r="37" spans="1:10" x14ac:dyDescent="0.3">
      <c r="A37" s="15">
        <v>43950</v>
      </c>
      <c r="B37" s="36">
        <f t="shared" si="0"/>
        <v>18</v>
      </c>
      <c r="C37" s="16" t="s">
        <v>4</v>
      </c>
      <c r="D37" s="26">
        <v>79527</v>
      </c>
      <c r="E37" s="30">
        <v>7180498.5</v>
      </c>
      <c r="F37" s="30">
        <v>5432087.9790000003</v>
      </c>
      <c r="G37" s="31">
        <v>172769.19230769231</v>
      </c>
      <c r="H37" s="26" cm="1">
        <f t="array" ref="H37">INDEX(Таблица1[Количество складов],MATCH(1,(Таблица1[Дата]=Лист1!A37)*(Таблица1[Территория]=Лист1!C37),0))</f>
        <v>31</v>
      </c>
      <c r="I37" s="26" cm="1">
        <f t="array" ref="I37">INDEX(Таблица1[Количество заказов],MATCH(1,(Таблица1[Дата]=Лист1!A37)*(Таблица1[Территория]=Лист1!C37),0))</f>
        <v>5378</v>
      </c>
      <c r="J37" s="26" cm="1">
        <f t="array" ref="J37">INDEX(Таблица1[Количество клиентов],MATCH(1,(Таблица1[Дата]=Лист1!A37)*(Таблица1[Территория]=Лист1!C37),0))</f>
        <v>4985</v>
      </c>
    </row>
    <row r="38" spans="1:10" x14ac:dyDescent="0.3">
      <c r="A38" s="13">
        <v>43953</v>
      </c>
      <c r="B38" s="35">
        <f t="shared" si="0"/>
        <v>18</v>
      </c>
      <c r="C38" s="14" t="s">
        <v>4</v>
      </c>
      <c r="D38" s="25">
        <v>60463.5</v>
      </c>
      <c r="E38" s="28">
        <v>5554192.5</v>
      </c>
      <c r="F38" s="28">
        <v>4218316.0290000001</v>
      </c>
      <c r="G38" s="29">
        <v>244262.12107692307</v>
      </c>
      <c r="H38" s="25" cm="1">
        <f t="array" ref="H38">INDEX(Таблица1[Количество складов],MATCH(1,(Таблица1[Дата]=Лист1!A38)*(Таблица1[Территория]=Лист1!C38),0))</f>
        <v>31</v>
      </c>
      <c r="I38" s="25" cm="1">
        <f t="array" ref="I38">INDEX(Таблица1[Количество заказов],MATCH(1,(Таблица1[Дата]=Лист1!A38)*(Таблица1[Территория]=Лист1!C38),0))</f>
        <v>4157</v>
      </c>
      <c r="J38" s="25" cm="1">
        <f t="array" ref="J38">INDEX(Таблица1[Количество клиентов],MATCH(1,(Таблица1[Дата]=Лист1!A38)*(Таблица1[Территория]=Лист1!C38),0))</f>
        <v>3823</v>
      </c>
    </row>
    <row r="39" spans="1:10" x14ac:dyDescent="0.3">
      <c r="A39" s="15">
        <v>43977</v>
      </c>
      <c r="B39" s="36">
        <f t="shared" si="0"/>
        <v>22</v>
      </c>
      <c r="C39" s="16" t="s">
        <v>4</v>
      </c>
      <c r="D39" s="26">
        <v>79975.5</v>
      </c>
      <c r="E39" s="30">
        <v>6676459.5</v>
      </c>
      <c r="F39" s="30">
        <v>5083946.1689999998</v>
      </c>
      <c r="G39" s="31">
        <v>141931.13193076922</v>
      </c>
      <c r="H39" s="26" cm="1">
        <f t="array" ref="H39">INDEX(Таблица1[Количество складов],MATCH(1,(Таблица1[Дата]=Лист1!A39)*(Таблица1[Территория]=Лист1!C39),0))</f>
        <v>31</v>
      </c>
      <c r="I39" s="26" cm="1">
        <f t="array" ref="I39">INDEX(Таблица1[Количество заказов],MATCH(1,(Таблица1[Дата]=Лист1!A39)*(Таблица1[Территория]=Лист1!C39),0))</f>
        <v>5493</v>
      </c>
      <c r="J39" s="26" cm="1">
        <f t="array" ref="J39">INDEX(Таблица1[Количество клиентов],MATCH(1,(Таблица1[Дата]=Лист1!A39)*(Таблица1[Территория]=Лист1!C39),0))</f>
        <v>5119</v>
      </c>
    </row>
    <row r="40" spans="1:10" x14ac:dyDescent="0.3">
      <c r="A40" s="13">
        <v>43952</v>
      </c>
      <c r="B40" s="35">
        <f t="shared" si="0"/>
        <v>18</v>
      </c>
      <c r="C40" s="14" t="s">
        <v>4</v>
      </c>
      <c r="D40" s="25">
        <v>97534.5</v>
      </c>
      <c r="E40" s="28">
        <v>8893024.5</v>
      </c>
      <c r="F40" s="28">
        <v>6855177.2400000002</v>
      </c>
      <c r="G40" s="29">
        <v>185180.38007692309</v>
      </c>
      <c r="H40" s="25" cm="1">
        <f t="array" ref="H40">INDEX(Таблица1[Количество складов],MATCH(1,(Таблица1[Дата]=Лист1!A40)*(Таблица1[Территория]=Лист1!C40),0))</f>
        <v>31</v>
      </c>
      <c r="I40" s="25" cm="1">
        <f t="array" ref="I40">INDEX(Таблица1[Количество заказов],MATCH(1,(Таблица1[Дата]=Лист1!A40)*(Таблица1[Территория]=Лист1!C40),0))</f>
        <v>6118</v>
      </c>
      <c r="J40" s="25" cm="1">
        <f t="array" ref="J40">INDEX(Таблица1[Количество клиентов],MATCH(1,(Таблица1[Дата]=Лист1!A40)*(Таблица1[Территория]=Лист1!C40),0))</f>
        <v>5564</v>
      </c>
    </row>
    <row r="41" spans="1:10" x14ac:dyDescent="0.3">
      <c r="A41" s="15">
        <v>43963</v>
      </c>
      <c r="B41" s="36">
        <f t="shared" si="0"/>
        <v>20</v>
      </c>
      <c r="C41" s="16" t="s">
        <v>4</v>
      </c>
      <c r="D41" s="26">
        <v>71520</v>
      </c>
      <c r="E41" s="30">
        <v>6398361</v>
      </c>
      <c r="F41" s="30">
        <v>4793096.1439999994</v>
      </c>
      <c r="G41" s="31">
        <v>181432.06769230767</v>
      </c>
      <c r="H41" s="26" cm="1">
        <f t="array" ref="H41">INDEX(Таблица1[Количество складов],MATCH(1,(Таблица1[Дата]=Лист1!A41)*(Таблица1[Территория]=Лист1!C41),0))</f>
        <v>31</v>
      </c>
      <c r="I41" s="26" cm="1">
        <f t="array" ref="I41">INDEX(Таблица1[Количество заказов],MATCH(1,(Таблица1[Дата]=Лист1!A41)*(Таблица1[Территория]=Лист1!C41),0))</f>
        <v>4800</v>
      </c>
      <c r="J41" s="26" cm="1">
        <f t="array" ref="J41">INDEX(Таблица1[Количество клиентов],MATCH(1,(Таблица1[Дата]=Лист1!A41)*(Таблица1[Территория]=Лист1!C41),0))</f>
        <v>4470</v>
      </c>
    </row>
    <row r="42" spans="1:10" x14ac:dyDescent="0.3">
      <c r="A42" s="13">
        <v>43972</v>
      </c>
      <c r="B42" s="35">
        <f t="shared" si="0"/>
        <v>21</v>
      </c>
      <c r="C42" s="14" t="s">
        <v>4</v>
      </c>
      <c r="D42" s="25">
        <v>79485</v>
      </c>
      <c r="E42" s="28">
        <v>6633847.5</v>
      </c>
      <c r="F42" s="28">
        <v>5212858.58</v>
      </c>
      <c r="G42" s="29">
        <v>120955.33846153846</v>
      </c>
      <c r="H42" s="25" cm="1">
        <f t="array" ref="H42">INDEX(Таблица1[Количество складов],MATCH(1,(Таблица1[Дата]=Лист1!A42)*(Таблица1[Территория]=Лист1!C42),0))</f>
        <v>31</v>
      </c>
      <c r="I42" s="25" cm="1">
        <f t="array" ref="I42">INDEX(Таблица1[Количество заказов],MATCH(1,(Таблица1[Дата]=Лист1!A42)*(Таблица1[Территория]=Лист1!C42),0))</f>
        <v>5207</v>
      </c>
      <c r="J42" s="25" cm="1">
        <f t="array" ref="J42">INDEX(Таблица1[Количество клиентов],MATCH(1,(Таблица1[Дата]=Лист1!A42)*(Таблица1[Территория]=Лист1!C42),0))</f>
        <v>4868</v>
      </c>
    </row>
    <row r="43" spans="1:10" x14ac:dyDescent="0.3">
      <c r="A43" s="15">
        <v>43971</v>
      </c>
      <c r="B43" s="36">
        <f t="shared" si="0"/>
        <v>21</v>
      </c>
      <c r="C43" s="16" t="s">
        <v>4</v>
      </c>
      <c r="D43" s="26">
        <v>93313.5</v>
      </c>
      <c r="E43" s="30">
        <v>7247575.5</v>
      </c>
      <c r="F43" s="30">
        <v>5922822.6779999994</v>
      </c>
      <c r="G43" s="31">
        <v>714758.2</v>
      </c>
      <c r="H43" s="26" cm="1">
        <f t="array" ref="H43">INDEX(Таблица1[Количество складов],MATCH(1,(Таблица1[Дата]=Лист1!A43)*(Таблица1[Территория]=Лист1!C43),0))</f>
        <v>31</v>
      </c>
      <c r="I43" s="26" cm="1">
        <f t="array" ref="I43">INDEX(Таблица1[Количество заказов],MATCH(1,(Таблица1[Дата]=Лист1!A43)*(Таблица1[Территория]=Лист1!C43),0))</f>
        <v>5698</v>
      </c>
      <c r="J43" s="26" cm="1">
        <f t="array" ref="J43">INDEX(Таблица1[Количество клиентов],MATCH(1,(Таблица1[Дата]=Лист1!A43)*(Таблица1[Территория]=Лист1!C43),0))</f>
        <v>5258</v>
      </c>
    </row>
    <row r="44" spans="1:10" x14ac:dyDescent="0.3">
      <c r="A44" s="13">
        <v>43956</v>
      </c>
      <c r="B44" s="35">
        <f t="shared" si="0"/>
        <v>19</v>
      </c>
      <c r="C44" s="14" t="s">
        <v>4</v>
      </c>
      <c r="D44" s="25">
        <v>76585.5</v>
      </c>
      <c r="E44" s="28">
        <v>6921316.5</v>
      </c>
      <c r="F44" s="28">
        <v>5290094.2719999999</v>
      </c>
      <c r="G44" s="29">
        <v>386033.17544615385</v>
      </c>
      <c r="H44" s="25" cm="1">
        <f t="array" ref="H44">INDEX(Таблица1[Количество складов],MATCH(1,(Таблица1[Дата]=Лист1!A44)*(Таблица1[Территория]=Лист1!C44),0))</f>
        <v>31</v>
      </c>
      <c r="I44" s="25" cm="1">
        <f t="array" ref="I44">INDEX(Таблица1[Количество заказов],MATCH(1,(Таблица1[Дата]=Лист1!A44)*(Таблица1[Территория]=Лист1!C44),0))</f>
        <v>5188</v>
      </c>
      <c r="J44" s="25" cm="1">
        <f t="array" ref="J44">INDEX(Таблица1[Количество клиентов],MATCH(1,(Таблица1[Дата]=Лист1!A44)*(Таблица1[Территория]=Лист1!C44),0))</f>
        <v>4800</v>
      </c>
    </row>
    <row r="45" spans="1:10" x14ac:dyDescent="0.3">
      <c r="A45" s="15">
        <v>43949</v>
      </c>
      <c r="B45" s="36">
        <f t="shared" si="0"/>
        <v>18</v>
      </c>
      <c r="C45" s="16" t="s">
        <v>4</v>
      </c>
      <c r="D45" s="26">
        <v>81826.5</v>
      </c>
      <c r="E45" s="30">
        <v>7163644.5</v>
      </c>
      <c r="F45" s="30">
        <v>5366333.7130000005</v>
      </c>
      <c r="G45" s="31">
        <v>145122.77781538462</v>
      </c>
      <c r="H45" s="26" cm="1">
        <f t="array" ref="H45">INDEX(Таблица1[Количество складов],MATCH(1,(Таблица1[Дата]=Лист1!A45)*(Таблица1[Территория]=Лист1!C45),0))</f>
        <v>31</v>
      </c>
      <c r="I45" s="26" cm="1">
        <f t="array" ref="I45">INDEX(Таблица1[Количество заказов],MATCH(1,(Таблица1[Дата]=Лист1!A45)*(Таблица1[Территория]=Лист1!C45),0))</f>
        <v>5465</v>
      </c>
      <c r="J45" s="26" cm="1">
        <f t="array" ref="J45">INDEX(Таблица1[Количество клиентов],MATCH(1,(Таблица1[Дата]=Лист1!A45)*(Таблица1[Территория]=Лист1!C45),0))</f>
        <v>5096</v>
      </c>
    </row>
    <row r="46" spans="1:10" x14ac:dyDescent="0.3">
      <c r="A46" s="13">
        <v>43964</v>
      </c>
      <c r="B46" s="35">
        <f t="shared" si="0"/>
        <v>20</v>
      </c>
      <c r="C46" s="14" t="s">
        <v>4</v>
      </c>
      <c r="D46" s="25">
        <v>78846</v>
      </c>
      <c r="E46" s="28">
        <v>6993952.5</v>
      </c>
      <c r="F46" s="28">
        <v>5288518.7799999993</v>
      </c>
      <c r="G46" s="29">
        <v>227969.01538461537</v>
      </c>
      <c r="H46" s="25" cm="1">
        <f t="array" ref="H46">INDEX(Таблица1[Количество складов],MATCH(1,(Таблица1[Дата]=Лист1!A46)*(Таблица1[Территория]=Лист1!C46),0))</f>
        <v>31</v>
      </c>
      <c r="I46" s="25" cm="1">
        <f t="array" ref="I46">INDEX(Таблица1[Количество заказов],MATCH(1,(Таблица1[Дата]=Лист1!A46)*(Таблица1[Территория]=Лист1!C46),0))</f>
        <v>5251</v>
      </c>
      <c r="J46" s="25" cm="1">
        <f t="array" ref="J46">INDEX(Таблица1[Количество клиентов],MATCH(1,(Таблица1[Дата]=Лист1!A46)*(Таблица1[Территория]=Лист1!C46),0))</f>
        <v>4853</v>
      </c>
    </row>
    <row r="47" spans="1:10" x14ac:dyDescent="0.3">
      <c r="A47" s="15">
        <v>43954</v>
      </c>
      <c r="B47" s="36">
        <f t="shared" si="0"/>
        <v>18</v>
      </c>
      <c r="C47" s="16" t="s">
        <v>4</v>
      </c>
      <c r="D47" s="26">
        <v>77263.5</v>
      </c>
      <c r="E47" s="30">
        <v>7013670</v>
      </c>
      <c r="F47" s="30">
        <v>5282661.8549999995</v>
      </c>
      <c r="G47" s="31">
        <v>161473.07692307691</v>
      </c>
      <c r="H47" s="26" cm="1">
        <f t="array" ref="H47">INDEX(Таблица1[Количество складов],MATCH(1,(Таблица1[Дата]=Лист1!A47)*(Таблица1[Территория]=Лист1!C47),0))</f>
        <v>31</v>
      </c>
      <c r="I47" s="26" cm="1">
        <f t="array" ref="I47">INDEX(Таблица1[Количество заказов],MATCH(1,(Таблица1[Дата]=Лист1!A47)*(Таблица1[Территория]=Лист1!C47),0))</f>
        <v>5155</v>
      </c>
      <c r="J47" s="26" cm="1">
        <f t="array" ref="J47">INDEX(Таблица1[Количество клиентов],MATCH(1,(Таблица1[Дата]=Лист1!A47)*(Таблица1[Территория]=Лист1!C47),0))</f>
        <v>4762</v>
      </c>
    </row>
    <row r="48" spans="1:10" x14ac:dyDescent="0.3">
      <c r="A48" s="13">
        <v>43957</v>
      </c>
      <c r="B48" s="35">
        <f t="shared" si="0"/>
        <v>19</v>
      </c>
      <c r="C48" s="14" t="s">
        <v>4</v>
      </c>
      <c r="D48" s="25">
        <v>68994</v>
      </c>
      <c r="E48" s="28">
        <v>6168657</v>
      </c>
      <c r="F48" s="28">
        <v>4695811.3490000004</v>
      </c>
      <c r="G48" s="29">
        <v>157384.1788307692</v>
      </c>
      <c r="H48" s="25" cm="1">
        <f t="array" ref="H48">INDEX(Таблица1[Количество складов],MATCH(1,(Таблица1[Дата]=Лист1!A48)*(Таблица1[Территория]=Лист1!C48),0))</f>
        <v>31</v>
      </c>
      <c r="I48" s="25" cm="1">
        <f t="array" ref="I48">INDEX(Таблица1[Количество заказов],MATCH(1,(Таблица1[Дата]=Лист1!A48)*(Таблица1[Территория]=Лист1!C48),0))</f>
        <v>4709</v>
      </c>
      <c r="J48" s="25" cm="1">
        <f t="array" ref="J48">INDEX(Таблица1[Количество клиентов],MATCH(1,(Таблица1[Дата]=Лист1!A48)*(Таблица1[Территория]=Лист1!C48),0))</f>
        <v>4348</v>
      </c>
    </row>
    <row r="49" spans="1:10" x14ac:dyDescent="0.3">
      <c r="A49" s="15">
        <v>43974</v>
      </c>
      <c r="B49" s="36">
        <f t="shared" si="0"/>
        <v>21</v>
      </c>
      <c r="C49" s="16" t="s">
        <v>4</v>
      </c>
      <c r="D49" s="26">
        <v>102889.5</v>
      </c>
      <c r="E49" s="30">
        <v>8089143</v>
      </c>
      <c r="F49" s="30">
        <v>6673236.3720000004</v>
      </c>
      <c r="G49" s="31">
        <v>127223.84583076923</v>
      </c>
      <c r="H49" s="26" cm="1">
        <f t="array" ref="H49">INDEX(Таблица1[Количество складов],MATCH(1,(Таблица1[Дата]=Лист1!A49)*(Таблица1[Территория]=Лист1!C49),0))</f>
        <v>31</v>
      </c>
      <c r="I49" s="26" cm="1">
        <f t="array" ref="I49">INDEX(Таблица1[Количество заказов],MATCH(1,(Таблица1[Дата]=Лист1!A49)*(Таблица1[Территория]=Лист1!C49),0))</f>
        <v>6276</v>
      </c>
      <c r="J49" s="26" cm="1">
        <f t="array" ref="J49">INDEX(Таблица1[Количество клиентов],MATCH(1,(Таблица1[Дата]=Лист1!A49)*(Таблица1[Территория]=Лист1!C49),0))</f>
        <v>5801</v>
      </c>
    </row>
    <row r="50" spans="1:10" x14ac:dyDescent="0.3">
      <c r="A50" s="13">
        <v>43976</v>
      </c>
      <c r="B50" s="35">
        <f t="shared" si="0"/>
        <v>22</v>
      </c>
      <c r="C50" s="14" t="s">
        <v>4</v>
      </c>
      <c r="D50" s="25">
        <v>76999.5</v>
      </c>
      <c r="E50" s="28">
        <v>6645603</v>
      </c>
      <c r="F50" s="28">
        <v>5032216.1889999993</v>
      </c>
      <c r="G50" s="29">
        <v>100883.95384615385</v>
      </c>
      <c r="H50" s="25" cm="1">
        <f t="array" ref="H50">INDEX(Таблица1[Количество складов],MATCH(1,(Таблица1[Дата]=Лист1!A50)*(Таблица1[Территория]=Лист1!C50),0))</f>
        <v>31</v>
      </c>
      <c r="I50" s="25" cm="1">
        <f t="array" ref="I50">INDEX(Таблица1[Количество заказов],MATCH(1,(Таблица1[Дата]=Лист1!A50)*(Таблица1[Территория]=Лист1!C50),0))</f>
        <v>5210</v>
      </c>
      <c r="J50" s="25" cm="1">
        <f t="array" ref="J50">INDEX(Таблица1[Количество клиентов],MATCH(1,(Таблица1[Дата]=Лист1!A50)*(Таблица1[Территория]=Лист1!C50),0))</f>
        <v>4841</v>
      </c>
    </row>
    <row r="51" spans="1:10" x14ac:dyDescent="0.3">
      <c r="A51" s="15">
        <v>43951</v>
      </c>
      <c r="B51" s="36">
        <f t="shared" si="0"/>
        <v>18</v>
      </c>
      <c r="C51" s="16" t="s">
        <v>4</v>
      </c>
      <c r="D51" s="26">
        <v>77565</v>
      </c>
      <c r="E51" s="30">
        <v>7023727.5</v>
      </c>
      <c r="F51" s="30">
        <v>5349682.4849999994</v>
      </c>
      <c r="G51" s="31">
        <v>31578.207692307689</v>
      </c>
      <c r="H51" s="26" cm="1">
        <f t="array" ref="H51">INDEX(Таблица1[Количество складов],MATCH(1,(Таблица1[Дата]=Лист1!A51)*(Таблица1[Территория]=Лист1!C51),0))</f>
        <v>31</v>
      </c>
      <c r="I51" s="26" cm="1">
        <f t="array" ref="I51">INDEX(Таблица1[Количество заказов],MATCH(1,(Таблица1[Дата]=Лист1!A51)*(Таблица1[Территория]=Лист1!C51),0))</f>
        <v>5120</v>
      </c>
      <c r="J51" s="26" cm="1">
        <f t="array" ref="J51">INDEX(Таблица1[Количество клиентов],MATCH(1,(Таблица1[Дата]=Лист1!A51)*(Таблица1[Территория]=Лист1!C51),0))</f>
        <v>4737</v>
      </c>
    </row>
    <row r="52" spans="1:10" x14ac:dyDescent="0.3">
      <c r="A52" s="13">
        <v>43961</v>
      </c>
      <c r="B52" s="35">
        <f t="shared" si="0"/>
        <v>19</v>
      </c>
      <c r="C52" s="14" t="s">
        <v>4</v>
      </c>
      <c r="D52" s="25">
        <v>84132</v>
      </c>
      <c r="E52" s="28">
        <v>7483194</v>
      </c>
      <c r="F52" s="28">
        <v>5637882.125</v>
      </c>
      <c r="G52" s="29">
        <v>126673.26923076922</v>
      </c>
      <c r="H52" s="25" cm="1">
        <f t="array" ref="H52">INDEX(Таблица1[Количество складов],MATCH(1,(Таблица1[Дата]=Лист1!A52)*(Таблица1[Территория]=Лист1!C52),0))</f>
        <v>31</v>
      </c>
      <c r="I52" s="25" cm="1">
        <f t="array" ref="I52">INDEX(Таблица1[Количество заказов],MATCH(1,(Таблица1[Дата]=Лист1!A52)*(Таблица1[Территория]=Лист1!C52),0))</f>
        <v>5495</v>
      </c>
      <c r="J52" s="25" cm="1">
        <f t="array" ref="J52">INDEX(Таблица1[Количество клиентов],MATCH(1,(Таблица1[Дата]=Лист1!A52)*(Таблица1[Территория]=Лист1!C52),0))</f>
        <v>5093</v>
      </c>
    </row>
    <row r="53" spans="1:10" x14ac:dyDescent="0.3">
      <c r="A53" s="15">
        <v>43959</v>
      </c>
      <c r="B53" s="36">
        <f t="shared" si="0"/>
        <v>19</v>
      </c>
      <c r="C53" s="16" t="s">
        <v>4</v>
      </c>
      <c r="D53" s="26">
        <v>69544.5</v>
      </c>
      <c r="E53" s="30">
        <v>6293776.5</v>
      </c>
      <c r="F53" s="30">
        <v>4773839.9380000001</v>
      </c>
      <c r="G53" s="31">
        <v>201777.4038153846</v>
      </c>
      <c r="H53" s="26" cm="1">
        <f t="array" ref="H53">INDEX(Таблица1[Количество складов],MATCH(1,(Таблица1[Дата]=Лист1!A53)*(Таблица1[Территория]=Лист1!C53),0))</f>
        <v>31</v>
      </c>
      <c r="I53" s="26" cm="1">
        <f t="array" ref="I53">INDEX(Таблица1[Количество заказов],MATCH(1,(Таблица1[Дата]=Лист1!A53)*(Таблица1[Территория]=Лист1!C53),0))</f>
        <v>4635</v>
      </c>
      <c r="J53" s="26" cm="1">
        <f t="array" ref="J53">INDEX(Таблица1[Количество клиентов],MATCH(1,(Таблица1[Дата]=Лист1!A53)*(Таблица1[Территория]=Лист1!C53),0))</f>
        <v>4266</v>
      </c>
    </row>
    <row r="54" spans="1:10" x14ac:dyDescent="0.3">
      <c r="A54" s="13">
        <v>43958</v>
      </c>
      <c r="B54" s="35">
        <f t="shared" si="0"/>
        <v>19</v>
      </c>
      <c r="C54" s="14" t="s">
        <v>4</v>
      </c>
      <c r="D54" s="25">
        <v>73204.5</v>
      </c>
      <c r="E54" s="28">
        <v>6591883.5</v>
      </c>
      <c r="F54" s="28">
        <v>5001227.6710000001</v>
      </c>
      <c r="G54" s="29">
        <v>184167.76355384616</v>
      </c>
      <c r="H54" s="25" cm="1">
        <f t="array" ref="H54">INDEX(Таблица1[Количество складов],MATCH(1,(Таблица1[Дата]=Лист1!A54)*(Таблица1[Территория]=Лист1!C54),0))</f>
        <v>31</v>
      </c>
      <c r="I54" s="25" cm="1">
        <f t="array" ref="I54">INDEX(Таблица1[Количество заказов],MATCH(1,(Таблица1[Дата]=Лист1!A54)*(Таблица1[Территория]=Лист1!C54),0))</f>
        <v>4903</v>
      </c>
      <c r="J54" s="25" cm="1">
        <f t="array" ref="J54">INDEX(Таблица1[Количество клиентов],MATCH(1,(Таблица1[Дата]=Лист1!A54)*(Таблица1[Территория]=Лист1!C54),0))</f>
        <v>4527</v>
      </c>
    </row>
    <row r="55" spans="1:10" x14ac:dyDescent="0.3">
      <c r="A55" s="15">
        <v>43975</v>
      </c>
      <c r="B55" s="36">
        <f t="shared" si="0"/>
        <v>21</v>
      </c>
      <c r="C55" s="16" t="s">
        <v>4</v>
      </c>
      <c r="D55" s="26">
        <v>76663.5</v>
      </c>
      <c r="E55" s="30">
        <v>6451032</v>
      </c>
      <c r="F55" s="30">
        <v>5048965.7960000001</v>
      </c>
      <c r="G55" s="31">
        <v>94608.146153846144</v>
      </c>
      <c r="H55" s="26" cm="1">
        <f t="array" ref="H55">INDEX(Таблица1[Количество складов],MATCH(1,(Таблица1[Дата]=Лист1!A55)*(Таблица1[Территория]=Лист1!C55),0))</f>
        <v>31</v>
      </c>
      <c r="I55" s="26" cm="1">
        <f t="array" ref="I55">INDEX(Таблица1[Количество заказов],MATCH(1,(Таблица1[Дата]=Лист1!A55)*(Таблица1[Территория]=Лист1!C55),0))</f>
        <v>5035</v>
      </c>
      <c r="J55" s="26" cm="1">
        <f t="array" ref="J55">INDEX(Таблица1[Количество клиентов],MATCH(1,(Таблица1[Дата]=Лист1!A55)*(Таблица1[Территория]=Лист1!C55),0))</f>
        <v>4683</v>
      </c>
    </row>
    <row r="56" spans="1:10" x14ac:dyDescent="0.3">
      <c r="A56" s="13">
        <v>43967</v>
      </c>
      <c r="B56" s="35">
        <f t="shared" si="0"/>
        <v>20</v>
      </c>
      <c r="C56" s="14" t="s">
        <v>19</v>
      </c>
      <c r="D56" s="25">
        <v>14265</v>
      </c>
      <c r="E56" s="28">
        <v>1130506.5</v>
      </c>
      <c r="F56" s="28">
        <v>1024403.9859999999</v>
      </c>
      <c r="G56" s="29">
        <v>72626.813907692311</v>
      </c>
      <c r="H56" s="25" cm="1">
        <f t="array" ref="H56">INDEX(Таблица1[Количество складов],MATCH(1,(Таблица1[Дата]=Лист1!A56)*(Таблица1[Территория]=Лист1!C56),0))</f>
        <v>10</v>
      </c>
      <c r="I56" s="25" cm="1">
        <f t="array" ref="I56">INDEX(Таблица1[Количество заказов],MATCH(1,(Таблица1[Дата]=Лист1!A56)*(Таблица1[Территория]=Лист1!C56),0))</f>
        <v>760</v>
      </c>
      <c r="J56" s="25" cm="1">
        <f t="array" ref="J56">INDEX(Таблица1[Количество клиентов],MATCH(1,(Таблица1[Дата]=Лист1!A56)*(Таблица1[Территория]=Лист1!C56),0))</f>
        <v>672</v>
      </c>
    </row>
    <row r="57" spans="1:10" x14ac:dyDescent="0.3">
      <c r="A57" s="15">
        <v>43970</v>
      </c>
      <c r="B57" s="36">
        <f t="shared" si="0"/>
        <v>21</v>
      </c>
      <c r="C57" s="16" t="s">
        <v>19</v>
      </c>
      <c r="D57" s="26">
        <v>11526</v>
      </c>
      <c r="E57" s="30">
        <v>938764.5</v>
      </c>
      <c r="F57" s="30">
        <v>820018.375</v>
      </c>
      <c r="G57" s="31">
        <v>77816.215384615381</v>
      </c>
      <c r="H57" s="26" cm="1">
        <f t="array" ref="H57">INDEX(Таблица1[Количество складов],MATCH(1,(Таблица1[Дата]=Лист1!A57)*(Таблица1[Территория]=Лист1!C57),0))</f>
        <v>10</v>
      </c>
      <c r="I57" s="26" cm="1">
        <f t="array" ref="I57">INDEX(Таблица1[Количество заказов],MATCH(1,(Таблица1[Дата]=Лист1!A57)*(Таблица1[Территория]=Лист1!C57),0))</f>
        <v>649</v>
      </c>
      <c r="J57" s="26" cm="1">
        <f t="array" ref="J57">INDEX(Таблица1[Количество клиентов],MATCH(1,(Таблица1[Дата]=Лист1!A57)*(Таблица1[Территория]=Лист1!C57),0))</f>
        <v>568</v>
      </c>
    </row>
    <row r="58" spans="1:10" x14ac:dyDescent="0.3">
      <c r="A58" s="13">
        <v>43968</v>
      </c>
      <c r="B58" s="35">
        <f t="shared" si="0"/>
        <v>20</v>
      </c>
      <c r="C58" s="14" t="s">
        <v>19</v>
      </c>
      <c r="D58" s="25">
        <v>10402.5</v>
      </c>
      <c r="E58" s="28">
        <v>843727.5</v>
      </c>
      <c r="F58" s="28">
        <v>729677.51899999997</v>
      </c>
      <c r="G58" s="29">
        <v>140731.96461538461</v>
      </c>
      <c r="H58" s="25" cm="1">
        <f t="array" ref="H58">INDEX(Таблица1[Количество складов],MATCH(1,(Таблица1[Дата]=Лист1!A58)*(Таблица1[Территория]=Лист1!C58),0))</f>
        <v>10</v>
      </c>
      <c r="I58" s="25" cm="1">
        <f t="array" ref="I58">INDEX(Таблица1[Количество заказов],MATCH(1,(Таблица1[Дата]=Лист1!A58)*(Таблица1[Территория]=Лист1!C58),0))</f>
        <v>591</v>
      </c>
      <c r="J58" s="25" cm="1">
        <f t="array" ref="J58">INDEX(Таблица1[Количество клиентов],MATCH(1,(Таблица1[Дата]=Лист1!A58)*(Таблица1[Территория]=Лист1!C58),0))</f>
        <v>513</v>
      </c>
    </row>
    <row r="59" spans="1:10" x14ac:dyDescent="0.3">
      <c r="A59" s="15">
        <v>43960</v>
      </c>
      <c r="B59" s="36">
        <f t="shared" si="0"/>
        <v>19</v>
      </c>
      <c r="C59" s="16" t="s">
        <v>19</v>
      </c>
      <c r="D59" s="26">
        <v>13216.5</v>
      </c>
      <c r="E59" s="30">
        <v>1046400</v>
      </c>
      <c r="F59" s="30">
        <v>937716.15799999994</v>
      </c>
      <c r="G59" s="31">
        <v>61387.776923076919</v>
      </c>
      <c r="H59" s="26" cm="1">
        <f t="array" ref="H59">INDEX(Таблица1[Количество складов],MATCH(1,(Таблица1[Дата]=Лист1!A59)*(Таблица1[Территория]=Лист1!C59),0))</f>
        <v>10</v>
      </c>
      <c r="I59" s="26" cm="1">
        <f t="array" ref="I59">INDEX(Таблица1[Количество заказов],MATCH(1,(Таблица1[Дата]=Лист1!A59)*(Таблица1[Территория]=Лист1!C59),0))</f>
        <v>644</v>
      </c>
      <c r="J59" s="26" cm="1">
        <f t="array" ref="J59">INDEX(Таблица1[Количество клиентов],MATCH(1,(Таблица1[Дата]=Лист1!A59)*(Таблица1[Территория]=Лист1!C59),0))</f>
        <v>559</v>
      </c>
    </row>
    <row r="60" spans="1:10" x14ac:dyDescent="0.3">
      <c r="A60" s="13">
        <v>43955</v>
      </c>
      <c r="B60" s="35">
        <f t="shared" si="0"/>
        <v>19</v>
      </c>
      <c r="C60" s="14" t="s">
        <v>19</v>
      </c>
      <c r="D60" s="25">
        <v>9130.5</v>
      </c>
      <c r="E60" s="28">
        <v>728890.5</v>
      </c>
      <c r="F60" s="28">
        <v>644150.51899999997</v>
      </c>
      <c r="G60" s="29">
        <v>98026.490369230756</v>
      </c>
      <c r="H60" s="25" cm="1">
        <f t="array" ref="H60">INDEX(Таблица1[Количество складов],MATCH(1,(Таблица1[Дата]=Лист1!A60)*(Таблица1[Территория]=Лист1!C60),0))</f>
        <v>10</v>
      </c>
      <c r="I60" s="25" cm="1">
        <f t="array" ref="I60">INDEX(Таблица1[Количество заказов],MATCH(1,(Таблица1[Дата]=Лист1!A60)*(Таблица1[Территория]=Лист1!C60),0))</f>
        <v>462</v>
      </c>
      <c r="J60" s="25" cm="1">
        <f t="array" ref="J60">INDEX(Таблица1[Количество клиентов],MATCH(1,(Таблица1[Дата]=Лист1!A60)*(Таблица1[Территория]=Лист1!C60),0))</f>
        <v>396</v>
      </c>
    </row>
    <row r="61" spans="1:10" x14ac:dyDescent="0.3">
      <c r="A61" s="15">
        <v>43950</v>
      </c>
      <c r="B61" s="36">
        <f t="shared" si="0"/>
        <v>18</v>
      </c>
      <c r="C61" s="16" t="s">
        <v>19</v>
      </c>
      <c r="D61" s="26">
        <v>10840.5</v>
      </c>
      <c r="E61" s="30">
        <v>797919</v>
      </c>
      <c r="F61" s="30">
        <v>783753.29499999993</v>
      </c>
      <c r="G61" s="31">
        <v>58214.93076923077</v>
      </c>
      <c r="H61" s="26" cm="1">
        <f t="array" ref="H61">INDEX(Таблица1[Количество складов],MATCH(1,(Таблица1[Дата]=Лист1!A61)*(Таблица1[Территория]=Лист1!C61),0))</f>
        <v>10</v>
      </c>
      <c r="I61" s="26" cm="1">
        <f t="array" ref="I61">INDEX(Таблица1[Количество заказов],MATCH(1,(Таблица1[Дата]=Лист1!A61)*(Таблица1[Территория]=Лист1!C61),0))</f>
        <v>502</v>
      </c>
      <c r="J61" s="26" cm="1">
        <f t="array" ref="J61">INDEX(Таблица1[Количество клиентов],MATCH(1,(Таблица1[Дата]=Лист1!A61)*(Таблица1[Территория]=Лист1!C61),0))</f>
        <v>433</v>
      </c>
    </row>
    <row r="62" spans="1:10" x14ac:dyDescent="0.3">
      <c r="A62" s="13">
        <v>43953</v>
      </c>
      <c r="B62" s="35">
        <f t="shared" si="0"/>
        <v>18</v>
      </c>
      <c r="C62" s="14" t="s">
        <v>19</v>
      </c>
      <c r="D62" s="25">
        <v>7866</v>
      </c>
      <c r="E62" s="28">
        <v>617881.5</v>
      </c>
      <c r="F62" s="28">
        <v>575518.06799999997</v>
      </c>
      <c r="G62" s="29">
        <v>119723.42363076922</v>
      </c>
      <c r="H62" s="25" cm="1">
        <f t="array" ref="H62">INDEX(Таблица1[Количество складов],MATCH(1,(Таблица1[Дата]=Лист1!A62)*(Таблица1[Территория]=Лист1!C62),0))</f>
        <v>10</v>
      </c>
      <c r="I62" s="25" cm="1">
        <f t="array" ref="I62">INDEX(Таблица1[Количество заказов],MATCH(1,(Таблица1[Дата]=Лист1!A62)*(Таблица1[Территория]=Лист1!C62),0))</f>
        <v>416</v>
      </c>
      <c r="J62" s="25" cm="1">
        <f t="array" ref="J62">INDEX(Таблица1[Количество клиентов],MATCH(1,(Таблица1[Дата]=Лист1!A62)*(Таблица1[Территория]=Лист1!C62),0))</f>
        <v>341</v>
      </c>
    </row>
    <row r="63" spans="1:10" x14ac:dyDescent="0.3">
      <c r="A63" s="15">
        <v>43977</v>
      </c>
      <c r="B63" s="36">
        <f t="shared" si="0"/>
        <v>22</v>
      </c>
      <c r="C63" s="16" t="s">
        <v>19</v>
      </c>
      <c r="D63" s="26">
        <v>11835</v>
      </c>
      <c r="E63" s="30">
        <v>983109</v>
      </c>
      <c r="F63" s="30">
        <v>825345.05300000007</v>
      </c>
      <c r="G63" s="31">
        <v>109486.33076923077</v>
      </c>
      <c r="H63" s="26" cm="1">
        <f t="array" ref="H63">INDEX(Таблица1[Количество складов],MATCH(1,(Таблица1[Дата]=Лист1!A63)*(Таблица1[Территория]=Лист1!C63),0))</f>
        <v>10</v>
      </c>
      <c r="I63" s="26" cm="1">
        <f t="array" ref="I63">INDEX(Таблица1[Количество заказов],MATCH(1,(Таблица1[Дата]=Лист1!A63)*(Таблица1[Территория]=Лист1!C63),0))</f>
        <v>692</v>
      </c>
      <c r="J63" s="26" cm="1">
        <f t="array" ref="J63">INDEX(Таблица1[Количество клиентов],MATCH(1,(Таблица1[Дата]=Лист1!A63)*(Таблица1[Территория]=Лист1!C63),0))</f>
        <v>601</v>
      </c>
    </row>
    <row r="64" spans="1:10" x14ac:dyDescent="0.3">
      <c r="A64" s="13">
        <v>43952</v>
      </c>
      <c r="B64" s="35">
        <f t="shared" si="0"/>
        <v>18</v>
      </c>
      <c r="C64" s="14" t="s">
        <v>19</v>
      </c>
      <c r="D64" s="25">
        <v>11619</v>
      </c>
      <c r="E64" s="28">
        <v>891139.5</v>
      </c>
      <c r="F64" s="28">
        <v>829782.37600000005</v>
      </c>
      <c r="G64" s="29">
        <v>121759.66210769229</v>
      </c>
      <c r="H64" s="25" cm="1">
        <f t="array" ref="H64">INDEX(Таблица1[Количество складов],MATCH(1,(Таблица1[Дата]=Лист1!A64)*(Таблица1[Территория]=Лист1!C64),0))</f>
        <v>10</v>
      </c>
      <c r="I64" s="25" cm="1">
        <f t="array" ref="I64">INDEX(Таблица1[Количество заказов],MATCH(1,(Таблица1[Дата]=Лист1!A64)*(Таблица1[Территория]=Лист1!C64),0))</f>
        <v>554</v>
      </c>
      <c r="J64" s="25" cm="1">
        <f t="array" ref="J64">INDEX(Таблица1[Количество клиентов],MATCH(1,(Таблица1[Дата]=Лист1!A64)*(Таблица1[Территория]=Лист1!C64),0))</f>
        <v>472</v>
      </c>
    </row>
    <row r="65" spans="1:10" x14ac:dyDescent="0.3">
      <c r="A65" s="15">
        <v>43963</v>
      </c>
      <c r="B65" s="36">
        <f t="shared" si="0"/>
        <v>20</v>
      </c>
      <c r="C65" s="16" t="s">
        <v>19</v>
      </c>
      <c r="D65" s="26">
        <v>9328.5</v>
      </c>
      <c r="E65" s="30">
        <v>732964.5</v>
      </c>
      <c r="F65" s="30">
        <v>634517.67299999995</v>
      </c>
      <c r="G65" s="31">
        <v>136157.98361538461</v>
      </c>
      <c r="H65" s="26" cm="1">
        <f t="array" ref="H65">INDEX(Таблица1[Количество складов],MATCH(1,(Таблица1[Дата]=Лист1!A65)*(Таблица1[Территория]=Лист1!C65),0))</f>
        <v>10</v>
      </c>
      <c r="I65" s="26" cm="1">
        <f t="array" ref="I65">INDEX(Таблица1[Количество заказов],MATCH(1,(Таблица1[Дата]=Лист1!A65)*(Таблица1[Территория]=Лист1!C65),0))</f>
        <v>526</v>
      </c>
      <c r="J65" s="26" cm="1">
        <f t="array" ref="J65">INDEX(Таблица1[Количество клиентов],MATCH(1,(Таблица1[Дата]=Лист1!A65)*(Таблица1[Территория]=Лист1!C65),0))</f>
        <v>448</v>
      </c>
    </row>
    <row r="66" spans="1:10" x14ac:dyDescent="0.3">
      <c r="A66" s="13">
        <v>43972</v>
      </c>
      <c r="B66" s="35">
        <f t="shared" si="0"/>
        <v>21</v>
      </c>
      <c r="C66" s="14" t="s">
        <v>19</v>
      </c>
      <c r="D66" s="25">
        <v>11250</v>
      </c>
      <c r="E66" s="28">
        <v>935523</v>
      </c>
      <c r="F66" s="28">
        <v>808524.505</v>
      </c>
      <c r="G66" s="29">
        <v>94344.953846153847</v>
      </c>
      <c r="H66" s="25" cm="1">
        <f t="array" ref="H66">INDEX(Таблица1[Количество складов],MATCH(1,(Таблица1[Дата]=Лист1!A66)*(Таблица1[Территория]=Лист1!C66),0))</f>
        <v>10</v>
      </c>
      <c r="I66" s="25" cm="1">
        <f t="array" ref="I66">INDEX(Таблица1[Количество заказов],MATCH(1,(Таблица1[Дата]=Лист1!A66)*(Таблица1[Территория]=Лист1!C66),0))</f>
        <v>677</v>
      </c>
      <c r="J66" s="25" cm="1">
        <f t="array" ref="J66">INDEX(Таблица1[Количество клиентов],MATCH(1,(Таблица1[Дата]=Лист1!A66)*(Таблица1[Территория]=Лист1!C66),0))</f>
        <v>591</v>
      </c>
    </row>
    <row r="67" spans="1:10" x14ac:dyDescent="0.3">
      <c r="A67" s="15">
        <v>43971</v>
      </c>
      <c r="B67" s="36">
        <f t="shared" ref="B67:B130" si="1">_xlfn.ISOWEEKNUM(A67)</f>
        <v>21</v>
      </c>
      <c r="C67" s="16" t="s">
        <v>19</v>
      </c>
      <c r="D67" s="26">
        <v>13063.5</v>
      </c>
      <c r="E67" s="30">
        <v>1037247</v>
      </c>
      <c r="F67" s="30">
        <v>910480.6449999999</v>
      </c>
      <c r="G67" s="31">
        <v>64430.964123076919</v>
      </c>
      <c r="H67" s="26" cm="1">
        <f t="array" ref="H67">INDEX(Таблица1[Количество складов],MATCH(1,(Таблица1[Дата]=Лист1!A67)*(Таблица1[Территория]=Лист1!C67),0))</f>
        <v>10</v>
      </c>
      <c r="I67" s="26" cm="1">
        <f t="array" ref="I67">INDEX(Таблица1[Количество заказов],MATCH(1,(Таблица1[Дата]=Лист1!A67)*(Таблица1[Территория]=Лист1!C67),0))</f>
        <v>745</v>
      </c>
      <c r="J67" s="26" cm="1">
        <f t="array" ref="J67">INDEX(Таблица1[Количество клиентов],MATCH(1,(Таблица1[Дата]=Лист1!A67)*(Таблица1[Территория]=Лист1!C67),0))</f>
        <v>654</v>
      </c>
    </row>
    <row r="68" spans="1:10" x14ac:dyDescent="0.3">
      <c r="A68" s="13">
        <v>43956</v>
      </c>
      <c r="B68" s="35">
        <f t="shared" si="1"/>
        <v>19</v>
      </c>
      <c r="C68" s="14" t="s">
        <v>19</v>
      </c>
      <c r="D68" s="25">
        <v>10147.5</v>
      </c>
      <c r="E68" s="28">
        <v>793320</v>
      </c>
      <c r="F68" s="28">
        <v>718019.27600000007</v>
      </c>
      <c r="G68" s="29">
        <v>92027.36809230769</v>
      </c>
      <c r="H68" s="25" cm="1">
        <f t="array" ref="H68">INDEX(Таблица1[Количество складов],MATCH(1,(Таблица1[Дата]=Лист1!A68)*(Таблица1[Территория]=Лист1!C68),0))</f>
        <v>10</v>
      </c>
      <c r="I68" s="25" cm="1">
        <f t="array" ref="I68">INDEX(Таблица1[Количество заказов],MATCH(1,(Таблица1[Дата]=Лист1!A68)*(Таблица1[Территория]=Лист1!C68),0))</f>
        <v>511</v>
      </c>
      <c r="J68" s="25" cm="1">
        <f t="array" ref="J68">INDEX(Таблица1[Количество клиентов],MATCH(1,(Таблица1[Дата]=Лист1!A68)*(Таблица1[Территория]=Лист1!C68),0))</f>
        <v>437</v>
      </c>
    </row>
    <row r="69" spans="1:10" x14ac:dyDescent="0.3">
      <c r="A69" s="15">
        <v>43949</v>
      </c>
      <c r="B69" s="36">
        <f t="shared" si="1"/>
        <v>18</v>
      </c>
      <c r="C69" s="16" t="s">
        <v>19</v>
      </c>
      <c r="D69" s="26">
        <v>12331.5</v>
      </c>
      <c r="E69" s="30">
        <v>869983.5</v>
      </c>
      <c r="F69" s="30">
        <v>896773.32399999991</v>
      </c>
      <c r="G69" s="31">
        <v>51681.038461538461</v>
      </c>
      <c r="H69" s="26" cm="1">
        <f t="array" ref="H69">INDEX(Таблица1[Количество складов],MATCH(1,(Таблица1[Дата]=Лист1!A69)*(Таблица1[Территория]=Лист1!C69),0))</f>
        <v>10</v>
      </c>
      <c r="I69" s="26" cm="1">
        <f t="array" ref="I69">INDEX(Таблица1[Количество заказов],MATCH(1,(Таблица1[Дата]=Лист1!A69)*(Таблица1[Территория]=Лист1!C69),0))</f>
        <v>580</v>
      </c>
      <c r="J69" s="26" cm="1">
        <f t="array" ref="J69">INDEX(Таблица1[Количество клиентов],MATCH(1,(Таблица1[Дата]=Лист1!A69)*(Таблица1[Территория]=Лист1!C69),0))</f>
        <v>506</v>
      </c>
    </row>
    <row r="70" spans="1:10" x14ac:dyDescent="0.3">
      <c r="A70" s="13">
        <v>43964</v>
      </c>
      <c r="B70" s="35">
        <f t="shared" si="1"/>
        <v>20</v>
      </c>
      <c r="C70" s="14" t="s">
        <v>19</v>
      </c>
      <c r="D70" s="25">
        <v>11202</v>
      </c>
      <c r="E70" s="28">
        <v>865714.5</v>
      </c>
      <c r="F70" s="28">
        <v>799644.75899999996</v>
      </c>
      <c r="G70" s="29">
        <v>111860.49372307691</v>
      </c>
      <c r="H70" s="25" cm="1">
        <f t="array" ref="H70">INDEX(Таблица1[Количество складов],MATCH(1,(Таблица1[Дата]=Лист1!A70)*(Таблица1[Территория]=Лист1!C70),0))</f>
        <v>10</v>
      </c>
      <c r="I70" s="25" cm="1">
        <f t="array" ref="I70">INDEX(Таблица1[Количество заказов],MATCH(1,(Таблица1[Дата]=Лист1!A70)*(Таблица1[Территория]=Лист1!C70),0))</f>
        <v>612</v>
      </c>
      <c r="J70" s="25" cm="1">
        <f t="array" ref="J70">INDEX(Таблица1[Количество клиентов],MATCH(1,(Таблица1[Дата]=Лист1!A70)*(Таблица1[Территория]=Лист1!C70),0))</f>
        <v>530</v>
      </c>
    </row>
    <row r="71" spans="1:10" x14ac:dyDescent="0.3">
      <c r="A71" s="15">
        <v>43982</v>
      </c>
      <c r="B71" s="36">
        <f t="shared" si="1"/>
        <v>22</v>
      </c>
      <c r="C71" s="16" t="s">
        <v>4</v>
      </c>
      <c r="D71" s="26">
        <v>89149.5</v>
      </c>
      <c r="E71" s="30">
        <v>7512646.5</v>
      </c>
      <c r="F71" s="30">
        <v>5979210.0970000001</v>
      </c>
      <c r="G71" s="31">
        <v>47580.146153846152</v>
      </c>
      <c r="H71" s="26" cm="1">
        <f t="array" ref="H71">INDEX(Таблица1[Количество складов],MATCH(1,(Таблица1[Дата]=Лист1!A71)*(Таблица1[Территория]=Лист1!C71),0))</f>
        <v>31</v>
      </c>
      <c r="I71" s="26" cm="1">
        <f t="array" ref="I71">INDEX(Таблица1[Количество заказов],MATCH(1,(Таблица1[Дата]=Лист1!A71)*(Таблица1[Территория]=Лист1!C71),0))</f>
        <v>5760</v>
      </c>
      <c r="J71" s="26" cm="1">
        <f t="array" ref="J71">INDEX(Таблица1[Количество клиентов],MATCH(1,(Таблица1[Дата]=Лист1!A71)*(Таблица1[Территория]=Лист1!C71),0))</f>
        <v>5367</v>
      </c>
    </row>
    <row r="72" spans="1:10" x14ac:dyDescent="0.3">
      <c r="A72" s="13">
        <v>43954</v>
      </c>
      <c r="B72" s="35">
        <f t="shared" si="1"/>
        <v>18</v>
      </c>
      <c r="C72" s="14" t="s">
        <v>19</v>
      </c>
      <c r="D72" s="25">
        <v>8185.5</v>
      </c>
      <c r="E72" s="28">
        <v>637881</v>
      </c>
      <c r="F72" s="28">
        <v>575840.67700000003</v>
      </c>
      <c r="G72" s="29">
        <v>73920.584615384607</v>
      </c>
      <c r="H72" s="25" cm="1">
        <f t="array" ref="H72">INDEX(Таблица1[Количество складов],MATCH(1,(Таблица1[Дата]=Лист1!A72)*(Таблица1[Территория]=Лист1!C72),0))</f>
        <v>10</v>
      </c>
      <c r="I72" s="25" cm="1">
        <f t="array" ref="I72">INDEX(Таблица1[Количество заказов],MATCH(1,(Таблица1[Дата]=Лист1!A72)*(Таблица1[Территория]=Лист1!C72),0))</f>
        <v>402</v>
      </c>
      <c r="J72" s="25" cm="1">
        <f t="array" ref="J72">INDEX(Таблица1[Количество клиентов],MATCH(1,(Таблица1[Дата]=Лист1!A72)*(Таблица1[Территория]=Лист1!C72),0))</f>
        <v>333</v>
      </c>
    </row>
    <row r="73" spans="1:10" x14ac:dyDescent="0.3">
      <c r="A73" s="15">
        <v>43981</v>
      </c>
      <c r="B73" s="36">
        <f t="shared" si="1"/>
        <v>22</v>
      </c>
      <c r="C73" s="16" t="s">
        <v>4</v>
      </c>
      <c r="D73" s="26">
        <v>108123</v>
      </c>
      <c r="E73" s="30">
        <v>9164707.5</v>
      </c>
      <c r="F73" s="30">
        <v>7329868.665</v>
      </c>
      <c r="G73" s="31">
        <v>137418.15930769229</v>
      </c>
      <c r="H73" s="26" cm="1">
        <f t="array" ref="H73">INDEX(Таблица1[Количество складов],MATCH(1,(Таблица1[Дата]=Лист1!A73)*(Таблица1[Территория]=Лист1!C73),0))</f>
        <v>31</v>
      </c>
      <c r="I73" s="26" cm="1">
        <f t="array" ref="I73">INDEX(Таблица1[Количество заказов],MATCH(1,(Таблица1[Дата]=Лист1!A73)*(Таблица1[Территория]=Лист1!C73),0))</f>
        <v>6735</v>
      </c>
      <c r="J73" s="26" cm="1">
        <f t="array" ref="J73">INDEX(Таблица1[Количество клиентов],MATCH(1,(Таблица1[Дата]=Лист1!A73)*(Таблица1[Территория]=Лист1!C73),0))</f>
        <v>6264</v>
      </c>
    </row>
    <row r="74" spans="1:10" x14ac:dyDescent="0.3">
      <c r="A74" s="13">
        <v>43957</v>
      </c>
      <c r="B74" s="35">
        <f t="shared" si="1"/>
        <v>19</v>
      </c>
      <c r="C74" s="14" t="s">
        <v>19</v>
      </c>
      <c r="D74" s="25">
        <v>9210</v>
      </c>
      <c r="E74" s="28">
        <v>696832.5</v>
      </c>
      <c r="F74" s="28">
        <v>616683.38099999994</v>
      </c>
      <c r="G74" s="29">
        <v>99623.130769230775</v>
      </c>
      <c r="H74" s="25" cm="1">
        <f t="array" ref="H74">INDEX(Таблица1[Количество складов],MATCH(1,(Таблица1[Дата]=Лист1!A74)*(Таблица1[Территория]=Лист1!C74),0))</f>
        <v>10</v>
      </c>
      <c r="I74" s="25" cm="1">
        <f t="array" ref="I74">INDEX(Таблица1[Количество заказов],MATCH(1,(Таблица1[Дата]=Лист1!A74)*(Таблица1[Территория]=Лист1!C74),0))</f>
        <v>465</v>
      </c>
      <c r="J74" s="25" cm="1">
        <f t="array" ref="J74">INDEX(Таблица1[Количество клиентов],MATCH(1,(Таблица1[Дата]=Лист1!A74)*(Таблица1[Территория]=Лист1!C74),0))</f>
        <v>390</v>
      </c>
    </row>
    <row r="75" spans="1:10" x14ac:dyDescent="0.3">
      <c r="A75" s="15">
        <v>43974</v>
      </c>
      <c r="B75" s="36">
        <f t="shared" si="1"/>
        <v>21</v>
      </c>
      <c r="C75" s="16" t="s">
        <v>19</v>
      </c>
      <c r="D75" s="26">
        <v>14773.5</v>
      </c>
      <c r="E75" s="30">
        <v>1241383.5</v>
      </c>
      <c r="F75" s="30">
        <v>1069622.507</v>
      </c>
      <c r="G75" s="31">
        <v>74049.523076923084</v>
      </c>
      <c r="H75" s="26" cm="1">
        <f t="array" ref="H75">INDEX(Таблица1[Количество складов],MATCH(1,(Таблица1[Дата]=Лист1!A75)*(Таблица1[Территория]=Лист1!C75),0))</f>
        <v>10</v>
      </c>
      <c r="I75" s="26" cm="1">
        <f t="array" ref="I75">INDEX(Таблица1[Количество заказов],MATCH(1,(Таблица1[Дата]=Лист1!A75)*(Таблица1[Территория]=Лист1!C75),0))</f>
        <v>828</v>
      </c>
      <c r="J75" s="26" cm="1">
        <f t="array" ref="J75">INDEX(Таблица1[Количество клиентов],MATCH(1,(Таблица1[Дата]=Лист1!A75)*(Таблица1[Территория]=Лист1!C75),0))</f>
        <v>734</v>
      </c>
    </row>
    <row r="76" spans="1:10" x14ac:dyDescent="0.3">
      <c r="A76" s="13">
        <v>43979</v>
      </c>
      <c r="B76" s="35">
        <f t="shared" si="1"/>
        <v>22</v>
      </c>
      <c r="C76" s="14" t="s">
        <v>4</v>
      </c>
      <c r="D76" s="25">
        <v>78141</v>
      </c>
      <c r="E76" s="28">
        <v>6641569.5</v>
      </c>
      <c r="F76" s="28">
        <v>5084073.5159999998</v>
      </c>
      <c r="G76" s="29">
        <v>142499.01538461537</v>
      </c>
      <c r="H76" s="25" cm="1">
        <f t="array" ref="H76">INDEX(Таблица1[Количество складов],MATCH(1,(Таблица1[Дата]=Лист1!A76)*(Таблица1[Территория]=Лист1!C76),0))</f>
        <v>31</v>
      </c>
      <c r="I76" s="25" cm="1">
        <f t="array" ref="I76">INDEX(Таблица1[Количество заказов],MATCH(1,(Таблица1[Дата]=Лист1!A76)*(Таблица1[Территория]=Лист1!C76),0))</f>
        <v>5355</v>
      </c>
      <c r="J76" s="25" cm="1">
        <f t="array" ref="J76">INDEX(Таблица1[Количество клиентов],MATCH(1,(Таблица1[Дата]=Лист1!A76)*(Таблица1[Территория]=Лист1!C76),0))</f>
        <v>4969</v>
      </c>
    </row>
    <row r="77" spans="1:10" x14ac:dyDescent="0.3">
      <c r="A77" s="15">
        <v>43976</v>
      </c>
      <c r="B77" s="36">
        <f t="shared" si="1"/>
        <v>22</v>
      </c>
      <c r="C77" s="16" t="s">
        <v>19</v>
      </c>
      <c r="D77" s="26">
        <v>12280.5</v>
      </c>
      <c r="E77" s="30">
        <v>1030440</v>
      </c>
      <c r="F77" s="30">
        <v>871047.598</v>
      </c>
      <c r="G77" s="31">
        <v>85172.084615384621</v>
      </c>
      <c r="H77" s="26" cm="1">
        <f t="array" ref="H77">INDEX(Таблица1[Количество складов],MATCH(1,(Таблица1[Дата]=Лист1!A77)*(Таблица1[Территория]=Лист1!C77),0))</f>
        <v>10</v>
      </c>
      <c r="I77" s="26" cm="1">
        <f t="array" ref="I77">INDEX(Таблица1[Количество заказов],MATCH(1,(Таблица1[Дата]=Лист1!A77)*(Таблица1[Территория]=Лист1!C77),0))</f>
        <v>739</v>
      </c>
      <c r="J77" s="26" cm="1">
        <f t="array" ref="J77">INDEX(Таблица1[Количество клиентов],MATCH(1,(Таблица1[Дата]=Лист1!A77)*(Таблица1[Территория]=Лист1!C77),0))</f>
        <v>642</v>
      </c>
    </row>
    <row r="78" spans="1:10" x14ac:dyDescent="0.3">
      <c r="A78" s="13">
        <v>43951</v>
      </c>
      <c r="B78" s="35">
        <f t="shared" si="1"/>
        <v>18</v>
      </c>
      <c r="C78" s="14" t="s">
        <v>19</v>
      </c>
      <c r="D78" s="25">
        <v>8934</v>
      </c>
      <c r="E78" s="28">
        <v>716196</v>
      </c>
      <c r="F78" s="28">
        <v>663415.49699999997</v>
      </c>
      <c r="G78" s="29">
        <v>24274.438461538462</v>
      </c>
      <c r="H78" s="25" cm="1">
        <f t="array" ref="H78">INDEX(Таблица1[Количество складов],MATCH(1,(Таблица1[Дата]=Лист1!A78)*(Таблица1[Территория]=Лист1!C78),0))</f>
        <v>10</v>
      </c>
      <c r="I78" s="25" cm="1">
        <f t="array" ref="I78">INDEX(Таблица1[Количество заказов],MATCH(1,(Таблица1[Дата]=Лист1!A78)*(Таблица1[Территория]=Лист1!C78),0))</f>
        <v>448</v>
      </c>
      <c r="J78" s="25" cm="1">
        <f t="array" ref="J78">INDEX(Таблица1[Количество клиентов],MATCH(1,(Таблица1[Дата]=Лист1!A78)*(Таблица1[Территория]=Лист1!C78),0))</f>
        <v>376</v>
      </c>
    </row>
    <row r="79" spans="1:10" x14ac:dyDescent="0.3">
      <c r="A79" s="15">
        <v>43961</v>
      </c>
      <c r="B79" s="36">
        <f t="shared" si="1"/>
        <v>19</v>
      </c>
      <c r="C79" s="16" t="s">
        <v>19</v>
      </c>
      <c r="D79" s="26">
        <v>12918</v>
      </c>
      <c r="E79" s="30">
        <v>1004788.5</v>
      </c>
      <c r="F79" s="30">
        <v>896111.80299999996</v>
      </c>
      <c r="G79" s="31">
        <v>99729.923076923063</v>
      </c>
      <c r="H79" s="26" cm="1">
        <f t="array" ref="H79">INDEX(Таблица1[Количество складов],MATCH(1,(Таблица1[Дата]=Лист1!A79)*(Таблица1[Территория]=Лист1!C79),0))</f>
        <v>10</v>
      </c>
      <c r="I79" s="26" cm="1">
        <f t="array" ref="I79">INDEX(Таблица1[Количество заказов],MATCH(1,(Таблица1[Дата]=Лист1!A79)*(Таблица1[Территория]=Лист1!C79),0))</f>
        <v>642</v>
      </c>
      <c r="J79" s="26" cm="1">
        <f t="array" ref="J79">INDEX(Таблица1[Количество клиентов],MATCH(1,(Таблица1[Дата]=Лист1!A79)*(Таблица1[Территория]=Лист1!C79),0))</f>
        <v>556</v>
      </c>
    </row>
    <row r="80" spans="1:10" x14ac:dyDescent="0.3">
      <c r="A80" s="13">
        <v>43959</v>
      </c>
      <c r="B80" s="35">
        <f t="shared" si="1"/>
        <v>19</v>
      </c>
      <c r="C80" s="14" t="s">
        <v>19</v>
      </c>
      <c r="D80" s="25">
        <v>12528</v>
      </c>
      <c r="E80" s="28">
        <v>959703</v>
      </c>
      <c r="F80" s="28">
        <v>861486.47499999998</v>
      </c>
      <c r="G80" s="29">
        <v>87212.130769230775</v>
      </c>
      <c r="H80" s="25" cm="1">
        <f t="array" ref="H80">INDEX(Таблица1[Количество складов],MATCH(1,(Таблица1[Дата]=Лист1!A80)*(Таблица1[Территория]=Лист1!C80),0))</f>
        <v>10</v>
      </c>
      <c r="I80" s="25" cm="1">
        <f t="array" ref="I80">INDEX(Таблица1[Количество заказов],MATCH(1,(Таблица1[Дата]=Лист1!A80)*(Таблица1[Территория]=Лист1!C80),0))</f>
        <v>638</v>
      </c>
      <c r="J80" s="25" cm="1">
        <f t="array" ref="J80">INDEX(Таблица1[Количество клиентов],MATCH(1,(Таблица1[Дата]=Лист1!A80)*(Таблица1[Территория]=Лист1!C80),0))</f>
        <v>547</v>
      </c>
    </row>
    <row r="81" spans="1:10" x14ac:dyDescent="0.3">
      <c r="A81" s="15">
        <v>43958</v>
      </c>
      <c r="B81" s="36">
        <f t="shared" si="1"/>
        <v>19</v>
      </c>
      <c r="C81" s="16" t="s">
        <v>19</v>
      </c>
      <c r="D81" s="26">
        <v>11029.5</v>
      </c>
      <c r="E81" s="30">
        <v>863754</v>
      </c>
      <c r="F81" s="30">
        <v>758428.73499999999</v>
      </c>
      <c r="G81" s="31">
        <v>86710.804507692301</v>
      </c>
      <c r="H81" s="26" cm="1">
        <f t="array" ref="H81">INDEX(Таблица1[Количество складов],MATCH(1,(Таблица1[Дата]=Лист1!A81)*(Таблица1[Территория]=Лист1!C81),0))</f>
        <v>10</v>
      </c>
      <c r="I81" s="26" cm="1">
        <f t="array" ref="I81">INDEX(Таблица1[Количество заказов],MATCH(1,(Таблица1[Дата]=Лист1!A81)*(Таблица1[Территория]=Лист1!C81),0))</f>
        <v>563</v>
      </c>
      <c r="J81" s="26" cm="1">
        <f t="array" ref="J81">INDEX(Таблица1[Количество клиентов],MATCH(1,(Таблица1[Дата]=Лист1!A81)*(Таблица1[Территория]=Лист1!C81),0))</f>
        <v>486</v>
      </c>
    </row>
    <row r="82" spans="1:10" x14ac:dyDescent="0.3">
      <c r="A82" s="13">
        <v>43975</v>
      </c>
      <c r="B82" s="35">
        <f t="shared" si="1"/>
        <v>21</v>
      </c>
      <c r="C82" s="14" t="s">
        <v>19</v>
      </c>
      <c r="D82" s="25">
        <v>9994.5</v>
      </c>
      <c r="E82" s="28">
        <v>828984</v>
      </c>
      <c r="F82" s="28">
        <v>702631.81099999999</v>
      </c>
      <c r="G82" s="29">
        <v>82264.567169230766</v>
      </c>
      <c r="H82" s="25" cm="1">
        <f t="array" ref="H82">INDEX(Таблица1[Количество складов],MATCH(1,(Таблица1[Дата]=Лист1!A82)*(Таблица1[Территория]=Лист1!C82),0))</f>
        <v>10</v>
      </c>
      <c r="I82" s="25" cm="1">
        <f t="array" ref="I82">INDEX(Таблица1[Количество заказов],MATCH(1,(Таблица1[Дата]=Лист1!A82)*(Таблица1[Территория]=Лист1!C82),0))</f>
        <v>639</v>
      </c>
      <c r="J82" s="25" cm="1">
        <f t="array" ref="J82">INDEX(Таблица1[Количество клиентов],MATCH(1,(Таблица1[Дата]=Лист1!A82)*(Таблица1[Территория]=Лист1!C82),0))</f>
        <v>557</v>
      </c>
    </row>
    <row r="83" spans="1:10" x14ac:dyDescent="0.3">
      <c r="A83" s="15">
        <v>43982</v>
      </c>
      <c r="B83" s="36">
        <f t="shared" si="1"/>
        <v>22</v>
      </c>
      <c r="C83" s="16" t="s">
        <v>19</v>
      </c>
      <c r="D83" s="26">
        <v>12724.5</v>
      </c>
      <c r="E83" s="30">
        <v>1045515</v>
      </c>
      <c r="F83" s="30">
        <v>896490.07</v>
      </c>
      <c r="G83" s="31">
        <v>49463.982984615388</v>
      </c>
      <c r="H83" s="26" cm="1">
        <f t="array" ref="H83">INDEX(Таблица1[Количество складов],MATCH(1,(Таблица1[Дата]=Лист1!A83)*(Таблица1[Территория]=Лист1!C83),0))</f>
        <v>10</v>
      </c>
      <c r="I83" s="26" cm="1">
        <f t="array" ref="I83">INDEX(Таблица1[Количество заказов],MATCH(1,(Таблица1[Дата]=Лист1!A83)*(Таблица1[Территория]=Лист1!C83),0))</f>
        <v>749</v>
      </c>
      <c r="J83" s="26" cm="1">
        <f t="array" ref="J83">INDEX(Таблица1[Количество клиентов],MATCH(1,(Таблица1[Дата]=Лист1!A83)*(Таблица1[Территория]=Лист1!C83),0))</f>
        <v>655</v>
      </c>
    </row>
    <row r="84" spans="1:10" x14ac:dyDescent="0.3">
      <c r="A84" s="13">
        <v>43981</v>
      </c>
      <c r="B84" s="35">
        <f t="shared" si="1"/>
        <v>22</v>
      </c>
      <c r="C84" s="14" t="s">
        <v>19</v>
      </c>
      <c r="D84" s="25">
        <v>14728.5</v>
      </c>
      <c r="E84" s="28">
        <v>1260483</v>
      </c>
      <c r="F84" s="28">
        <v>1048221.1390000001</v>
      </c>
      <c r="G84" s="29">
        <v>86278.176699999996</v>
      </c>
      <c r="H84" s="25" cm="1">
        <f t="array" ref="H84">INDEX(Таблица1[Количество складов],MATCH(1,(Таблица1[Дата]=Лист1!A84)*(Таблица1[Территория]=Лист1!C84),0))</f>
        <v>10</v>
      </c>
      <c r="I84" s="25" cm="1">
        <f t="array" ref="I84">INDEX(Таблица1[Количество заказов],MATCH(1,(Таблица1[Дата]=Лист1!A84)*(Таблица1[Территория]=Лист1!C84),0))</f>
        <v>865</v>
      </c>
      <c r="J84" s="25" cm="1">
        <f t="array" ref="J84">INDEX(Таблица1[Количество клиентов],MATCH(1,(Таблица1[Дата]=Лист1!A84)*(Таблица1[Территория]=Лист1!C84),0))</f>
        <v>763</v>
      </c>
    </row>
    <row r="85" spans="1:10" x14ac:dyDescent="0.3">
      <c r="A85" s="15">
        <v>43979</v>
      </c>
      <c r="B85" s="36">
        <f t="shared" si="1"/>
        <v>22</v>
      </c>
      <c r="C85" s="16" t="s">
        <v>19</v>
      </c>
      <c r="D85" s="26">
        <v>13038</v>
      </c>
      <c r="E85" s="30">
        <v>1114552.5</v>
      </c>
      <c r="F85" s="30">
        <v>939269.56700000004</v>
      </c>
      <c r="G85" s="31">
        <v>74269.06047692307</v>
      </c>
      <c r="H85" s="26" cm="1">
        <f t="array" ref="H85">INDEX(Таблица1[Количество складов],MATCH(1,(Таблица1[Дата]=Лист1!A85)*(Таблица1[Территория]=Лист1!C85),0))</f>
        <v>10</v>
      </c>
      <c r="I85" s="26" cm="1">
        <f t="array" ref="I85">INDEX(Таблица1[Количество заказов],MATCH(1,(Таблица1[Дата]=Лист1!A85)*(Таблица1[Территория]=Лист1!C85),0))</f>
        <v>791</v>
      </c>
      <c r="J85" s="26" cm="1">
        <f t="array" ref="J85">INDEX(Таблица1[Количество клиентов],MATCH(1,(Таблица1[Дата]=Лист1!A85)*(Таблица1[Территория]=Лист1!C85),0))</f>
        <v>697</v>
      </c>
    </row>
    <row r="86" spans="1:10" x14ac:dyDescent="0.3">
      <c r="A86" s="13">
        <v>43967</v>
      </c>
      <c r="B86" s="35">
        <f t="shared" si="1"/>
        <v>20</v>
      </c>
      <c r="C86" s="14" t="s">
        <v>10</v>
      </c>
      <c r="D86" s="25">
        <v>35482.5</v>
      </c>
      <c r="E86" s="28">
        <v>3222517.5</v>
      </c>
      <c r="F86" s="28">
        <v>2633868.1740000001</v>
      </c>
      <c r="G86" s="29">
        <v>150484.18215384614</v>
      </c>
      <c r="H86" s="25" cm="1">
        <f t="array" ref="H86">INDEX(Таблица1[Количество складов],MATCH(1,(Таблица1[Дата]=Лист1!A86)*(Таблица1[Территория]=Лист1!C86),0))</f>
        <v>19</v>
      </c>
      <c r="I86" s="25" cm="1">
        <f t="array" ref="I86">INDEX(Таблица1[Количество заказов],MATCH(1,(Таблица1[Дата]=Лист1!A86)*(Таблица1[Территория]=Лист1!C86),0))</f>
        <v>2080</v>
      </c>
      <c r="J86" s="25" cm="1">
        <f t="array" ref="J86">INDEX(Таблица1[Количество клиентов],MATCH(1,(Таблица1[Дата]=Лист1!A86)*(Таблица1[Территория]=Лист1!C86),0))</f>
        <v>1844</v>
      </c>
    </row>
    <row r="87" spans="1:10" x14ac:dyDescent="0.3">
      <c r="A87" s="15">
        <v>43970</v>
      </c>
      <c r="B87" s="36">
        <f t="shared" si="1"/>
        <v>21</v>
      </c>
      <c r="C87" s="16" t="s">
        <v>10</v>
      </c>
      <c r="D87" s="26">
        <v>32434.5</v>
      </c>
      <c r="E87" s="30">
        <v>2865337.5</v>
      </c>
      <c r="F87" s="30">
        <v>2368028.6850000001</v>
      </c>
      <c r="G87" s="31">
        <v>225452.89078461539</v>
      </c>
      <c r="H87" s="26" cm="1">
        <f t="array" ref="H87">INDEX(Таблица1[Количество складов],MATCH(1,(Таблица1[Дата]=Лист1!A87)*(Таблица1[Территория]=Лист1!C87),0))</f>
        <v>19</v>
      </c>
      <c r="I87" s="26" cm="1">
        <f t="array" ref="I87">INDEX(Таблица1[Количество заказов],MATCH(1,(Таблица1[Дата]=Лист1!A87)*(Таблица1[Территория]=Лист1!C87),0))</f>
        <v>1999</v>
      </c>
      <c r="J87" s="26" cm="1">
        <f t="array" ref="J87">INDEX(Таблица1[Количество клиентов],MATCH(1,(Таблица1[Дата]=Лист1!A87)*(Таблица1[Территория]=Лист1!C87),0))</f>
        <v>1799</v>
      </c>
    </row>
    <row r="88" spans="1:10" x14ac:dyDescent="0.3">
      <c r="A88" s="13">
        <v>43968</v>
      </c>
      <c r="B88" s="35">
        <f t="shared" si="1"/>
        <v>20</v>
      </c>
      <c r="C88" s="14" t="s">
        <v>10</v>
      </c>
      <c r="D88" s="25">
        <v>30486</v>
      </c>
      <c r="E88" s="28">
        <v>2694289.5</v>
      </c>
      <c r="F88" s="28">
        <v>2183502.7290000003</v>
      </c>
      <c r="G88" s="29">
        <v>153558.02257692307</v>
      </c>
      <c r="H88" s="25" cm="1">
        <f t="array" ref="H88">INDEX(Таблица1[Количество складов],MATCH(1,(Таблица1[Дата]=Лист1!A88)*(Таблица1[Территория]=Лист1!C88),0))</f>
        <v>19</v>
      </c>
      <c r="I88" s="25" cm="1">
        <f t="array" ref="I88">INDEX(Таблица1[Количество заказов],MATCH(1,(Таблица1[Дата]=Лист1!A88)*(Таблица1[Территория]=Лист1!C88),0))</f>
        <v>1871</v>
      </c>
      <c r="J88" s="25" cm="1">
        <f t="array" ref="J88">INDEX(Таблица1[Количество клиентов],MATCH(1,(Таблица1[Дата]=Лист1!A88)*(Таблица1[Территория]=Лист1!C88),0))</f>
        <v>1660</v>
      </c>
    </row>
    <row r="89" spans="1:10" x14ac:dyDescent="0.3">
      <c r="A89" s="15">
        <v>43960</v>
      </c>
      <c r="B89" s="36">
        <f t="shared" si="1"/>
        <v>19</v>
      </c>
      <c r="C89" s="16" t="s">
        <v>10</v>
      </c>
      <c r="D89" s="26">
        <v>32079</v>
      </c>
      <c r="E89" s="30">
        <v>2902167</v>
      </c>
      <c r="F89" s="30">
        <v>2319890.3459999999</v>
      </c>
      <c r="G89" s="31">
        <v>194963.39216923076</v>
      </c>
      <c r="H89" s="26" cm="1">
        <f t="array" ref="H89">INDEX(Таблица1[Количество складов],MATCH(1,(Таблица1[Дата]=Лист1!A89)*(Таблица1[Территория]=Лист1!C89),0))</f>
        <v>19</v>
      </c>
      <c r="I89" s="26" cm="1">
        <f t="array" ref="I89">INDEX(Таблица1[Количество заказов],MATCH(1,(Таблица1[Дата]=Лист1!A89)*(Таблица1[Территория]=Лист1!C89),0))</f>
        <v>1851</v>
      </c>
      <c r="J89" s="26" cm="1">
        <f t="array" ref="J89">INDEX(Таблица1[Количество клиентов],MATCH(1,(Таблица1[Дата]=Лист1!A89)*(Таблица1[Территория]=Лист1!C89),0))</f>
        <v>1635</v>
      </c>
    </row>
    <row r="90" spans="1:10" x14ac:dyDescent="0.3">
      <c r="A90" s="13">
        <v>43955</v>
      </c>
      <c r="B90" s="35">
        <f t="shared" si="1"/>
        <v>19</v>
      </c>
      <c r="C90" s="14" t="s">
        <v>10</v>
      </c>
      <c r="D90" s="25">
        <v>27072</v>
      </c>
      <c r="E90" s="28">
        <v>2450968.5</v>
      </c>
      <c r="F90" s="28">
        <v>1980824.9889999998</v>
      </c>
      <c r="G90" s="29">
        <v>188174.3243923077</v>
      </c>
      <c r="H90" s="25" cm="1">
        <f t="array" ref="H90">INDEX(Таблица1[Количество складов],MATCH(1,(Таблица1[Дата]=Лист1!A90)*(Таблица1[Территория]=Лист1!C90),0))</f>
        <v>19</v>
      </c>
      <c r="I90" s="25" cm="1">
        <f t="array" ref="I90">INDEX(Таблица1[Количество заказов],MATCH(1,(Таблица1[Дата]=Лист1!A90)*(Таблица1[Территория]=Лист1!C90),0))</f>
        <v>1582</v>
      </c>
      <c r="J90" s="25" cm="1">
        <f t="array" ref="J90">INDEX(Таблица1[Количество клиентов],MATCH(1,(Таблица1[Дата]=Лист1!A90)*(Таблица1[Территория]=Лист1!C90),0))</f>
        <v>1403</v>
      </c>
    </row>
    <row r="91" spans="1:10" x14ac:dyDescent="0.3">
      <c r="A91" s="15">
        <v>43950</v>
      </c>
      <c r="B91" s="36">
        <f t="shared" si="1"/>
        <v>18</v>
      </c>
      <c r="C91" s="16" t="s">
        <v>10</v>
      </c>
      <c r="D91" s="26">
        <v>25917</v>
      </c>
      <c r="E91" s="30">
        <v>2397588</v>
      </c>
      <c r="F91" s="30">
        <v>1937222.0459999999</v>
      </c>
      <c r="G91" s="31">
        <v>159472.57584615384</v>
      </c>
      <c r="H91" s="26" cm="1">
        <f t="array" ref="H91">INDEX(Таблица1[Количество складов],MATCH(1,(Таблица1[Дата]=Лист1!A91)*(Таблица1[Территория]=Лист1!C91),0))</f>
        <v>18</v>
      </c>
      <c r="I91" s="26" cm="1">
        <f t="array" ref="I91">INDEX(Таблица1[Количество заказов],MATCH(1,(Таблица1[Дата]=Лист1!A91)*(Таблица1[Территория]=Лист1!C91),0))</f>
        <v>1534</v>
      </c>
      <c r="J91" s="26" cm="1">
        <f t="array" ref="J91">INDEX(Таблица1[Количество клиентов],MATCH(1,(Таблица1[Дата]=Лист1!A91)*(Таблица1[Территория]=Лист1!C91),0))</f>
        <v>1369</v>
      </c>
    </row>
    <row r="92" spans="1:10" x14ac:dyDescent="0.3">
      <c r="A92" s="13">
        <v>43953</v>
      </c>
      <c r="B92" s="35">
        <f t="shared" si="1"/>
        <v>18</v>
      </c>
      <c r="C92" s="14" t="s">
        <v>10</v>
      </c>
      <c r="D92" s="25">
        <v>19461</v>
      </c>
      <c r="E92" s="28">
        <v>1799230.5</v>
      </c>
      <c r="F92" s="28">
        <v>1457108.1479999998</v>
      </c>
      <c r="G92" s="29">
        <v>183829.81409230767</v>
      </c>
      <c r="H92" s="25" cm="1">
        <f t="array" ref="H92">INDEX(Таблица1[Количество складов],MATCH(1,(Таблица1[Дата]=Лист1!A92)*(Таблица1[Территория]=Лист1!C92),0))</f>
        <v>19</v>
      </c>
      <c r="I92" s="25" cm="1">
        <f t="array" ref="I92">INDEX(Таблица1[Количество заказов],MATCH(1,(Таблица1[Дата]=Лист1!A92)*(Таблица1[Территория]=Лист1!C92),0))</f>
        <v>1217</v>
      </c>
      <c r="J92" s="25" cm="1">
        <f t="array" ref="J92">INDEX(Таблица1[Количество клиентов],MATCH(1,(Таблица1[Дата]=Лист1!A92)*(Таблица1[Территория]=Лист1!C92),0))</f>
        <v>1048</v>
      </c>
    </row>
    <row r="93" spans="1:10" x14ac:dyDescent="0.3">
      <c r="A93" s="15">
        <v>43977</v>
      </c>
      <c r="B93" s="36">
        <f t="shared" si="1"/>
        <v>22</v>
      </c>
      <c r="C93" s="16" t="s">
        <v>10</v>
      </c>
      <c r="D93" s="26">
        <v>31407</v>
      </c>
      <c r="E93" s="30">
        <v>2907411</v>
      </c>
      <c r="F93" s="30">
        <v>2288433.4950000001</v>
      </c>
      <c r="G93" s="31">
        <v>193538.8704076923</v>
      </c>
      <c r="H93" s="26" cm="1">
        <f t="array" ref="H93">INDEX(Таблица1[Количество складов],MATCH(1,(Таблица1[Дата]=Лист1!A93)*(Таблица1[Территория]=Лист1!C93),0))</f>
        <v>20</v>
      </c>
      <c r="I93" s="26" cm="1">
        <f t="array" ref="I93">INDEX(Таблица1[Количество заказов],MATCH(1,(Таблица1[Дата]=Лист1!A93)*(Таблица1[Территория]=Лист1!C93),0))</f>
        <v>2036</v>
      </c>
      <c r="J93" s="26" cm="1">
        <f t="array" ref="J93">INDEX(Таблица1[Количество клиентов],MATCH(1,(Таблица1[Дата]=Лист1!A93)*(Таблица1[Территория]=Лист1!C93),0))</f>
        <v>1790</v>
      </c>
    </row>
    <row r="94" spans="1:10" x14ac:dyDescent="0.3">
      <c r="A94" s="13">
        <v>43952</v>
      </c>
      <c r="B94" s="35">
        <f t="shared" si="1"/>
        <v>18</v>
      </c>
      <c r="C94" s="14" t="s">
        <v>10</v>
      </c>
      <c r="D94" s="25">
        <v>25792.5</v>
      </c>
      <c r="E94" s="28">
        <v>2374356</v>
      </c>
      <c r="F94" s="28">
        <v>1915101.034</v>
      </c>
      <c r="G94" s="29">
        <v>277477.31932307692</v>
      </c>
      <c r="H94" s="25" cm="1">
        <f t="array" ref="H94">INDEX(Таблица1[Количество складов],MATCH(1,(Таблица1[Дата]=Лист1!A94)*(Таблица1[Территория]=Лист1!C94),0))</f>
        <v>19</v>
      </c>
      <c r="I94" s="25" cm="1">
        <f t="array" ref="I94">INDEX(Таблица1[Количество заказов],MATCH(1,(Таблица1[Дата]=Лист1!A94)*(Таблица1[Территория]=Лист1!C94),0))</f>
        <v>1497</v>
      </c>
      <c r="J94" s="25" cm="1">
        <f t="array" ref="J94">INDEX(Таблица1[Количество клиентов],MATCH(1,(Таблица1[Дата]=Лист1!A94)*(Таблица1[Территория]=Лист1!C94),0))</f>
        <v>1291</v>
      </c>
    </row>
    <row r="95" spans="1:10" x14ac:dyDescent="0.3">
      <c r="A95" s="15">
        <v>43963</v>
      </c>
      <c r="B95" s="36">
        <f t="shared" si="1"/>
        <v>20</v>
      </c>
      <c r="C95" s="16" t="s">
        <v>10</v>
      </c>
      <c r="D95" s="26">
        <v>26032.5</v>
      </c>
      <c r="E95" s="30">
        <v>2370432</v>
      </c>
      <c r="F95" s="30">
        <v>1847737.8370000001</v>
      </c>
      <c r="G95" s="31">
        <v>141864.00329999998</v>
      </c>
      <c r="H95" s="26" cm="1">
        <f t="array" ref="H95">INDEX(Таблица1[Количество складов],MATCH(1,(Таблица1[Дата]=Лист1!A95)*(Таблица1[Территория]=Лист1!C95),0))</f>
        <v>19</v>
      </c>
      <c r="I95" s="26" cm="1">
        <f t="array" ref="I95">INDEX(Таблица1[Количество заказов],MATCH(1,(Таблица1[Дата]=Лист1!A95)*(Таблица1[Территория]=Лист1!C95),0))</f>
        <v>1649</v>
      </c>
      <c r="J95" s="26" cm="1">
        <f t="array" ref="J95">INDEX(Таблица1[Количество клиентов],MATCH(1,(Таблица1[Дата]=Лист1!A95)*(Таблица1[Территория]=Лист1!C95),0))</f>
        <v>1460</v>
      </c>
    </row>
    <row r="96" spans="1:10" x14ac:dyDescent="0.3">
      <c r="A96" s="13">
        <v>43972</v>
      </c>
      <c r="B96" s="35">
        <f t="shared" si="1"/>
        <v>21</v>
      </c>
      <c r="C96" s="14" t="s">
        <v>10</v>
      </c>
      <c r="D96" s="25">
        <v>31707</v>
      </c>
      <c r="E96" s="28">
        <v>2853181.5</v>
      </c>
      <c r="F96" s="28">
        <v>2349459.5</v>
      </c>
      <c r="G96" s="29">
        <v>187617.05315384615</v>
      </c>
      <c r="H96" s="25" cm="1">
        <f t="array" ref="H96">INDEX(Таблица1[Количество складов],MATCH(1,(Таблица1[Дата]=Лист1!A96)*(Таблица1[Территория]=Лист1!C96),0))</f>
        <v>19</v>
      </c>
      <c r="I96" s="25" cm="1">
        <f t="array" ref="I96">INDEX(Таблица1[Количество заказов],MATCH(1,(Таблица1[Дата]=Лист1!A96)*(Таблица1[Территория]=Лист1!C96),0))</f>
        <v>1949</v>
      </c>
      <c r="J96" s="25" cm="1">
        <f t="array" ref="J96">INDEX(Таблица1[Количество клиентов],MATCH(1,(Таблица1[Дата]=Лист1!A96)*(Таблица1[Территория]=Лист1!C96),0))</f>
        <v>1724</v>
      </c>
    </row>
    <row r="97" spans="1:10" x14ac:dyDescent="0.3">
      <c r="A97" s="15">
        <v>43971</v>
      </c>
      <c r="B97" s="36">
        <f t="shared" si="1"/>
        <v>21</v>
      </c>
      <c r="C97" s="16" t="s">
        <v>10</v>
      </c>
      <c r="D97" s="26">
        <v>29955</v>
      </c>
      <c r="E97" s="30">
        <v>2692230</v>
      </c>
      <c r="F97" s="30">
        <v>2195766.1209999998</v>
      </c>
      <c r="G97" s="31">
        <v>202002.14775384613</v>
      </c>
      <c r="H97" s="26" cm="1">
        <f t="array" ref="H97">INDEX(Таблица1[Количество складов],MATCH(1,(Таблица1[Дата]=Лист1!A97)*(Таблица1[Территория]=Лист1!C97),0))</f>
        <v>19</v>
      </c>
      <c r="I97" s="26" cm="1">
        <f t="array" ref="I97">INDEX(Таблица1[Количество заказов],MATCH(1,(Таблица1[Дата]=Лист1!A97)*(Таблица1[Территория]=Лист1!C97),0))</f>
        <v>1889</v>
      </c>
      <c r="J97" s="26" cm="1">
        <f t="array" ref="J97">INDEX(Таблица1[Количество клиентов],MATCH(1,(Таблица1[Дата]=Лист1!A97)*(Таблица1[Территория]=Лист1!C97),0))</f>
        <v>1690</v>
      </c>
    </row>
    <row r="98" spans="1:10" x14ac:dyDescent="0.3">
      <c r="A98" s="13">
        <v>43956</v>
      </c>
      <c r="B98" s="35">
        <f t="shared" si="1"/>
        <v>19</v>
      </c>
      <c r="C98" s="14" t="s">
        <v>10</v>
      </c>
      <c r="D98" s="25">
        <v>22848</v>
      </c>
      <c r="E98" s="28">
        <v>2079900</v>
      </c>
      <c r="F98" s="28">
        <v>1657688.8529999999</v>
      </c>
      <c r="G98" s="29">
        <v>178454.88537692308</v>
      </c>
      <c r="H98" s="25" cm="1">
        <f t="array" ref="H98">INDEX(Таблица1[Количество складов],MATCH(1,(Таблица1[Дата]=Лист1!A98)*(Таблица1[Территория]=Лист1!C98),0))</f>
        <v>19</v>
      </c>
      <c r="I98" s="25" cm="1">
        <f t="array" ref="I98">INDEX(Таблица1[Количество заказов],MATCH(1,(Таблица1[Дата]=Лист1!A98)*(Таблица1[Территория]=Лист1!C98),0))</f>
        <v>1417</v>
      </c>
      <c r="J98" s="25" cm="1">
        <f t="array" ref="J98">INDEX(Таблица1[Количество клиентов],MATCH(1,(Таблица1[Дата]=Лист1!A98)*(Таблица1[Территория]=Лист1!C98),0))</f>
        <v>1245</v>
      </c>
    </row>
    <row r="99" spans="1:10" x14ac:dyDescent="0.3">
      <c r="A99" s="15">
        <v>43949</v>
      </c>
      <c r="B99" s="36">
        <f t="shared" si="1"/>
        <v>18</v>
      </c>
      <c r="C99" s="16" t="s">
        <v>10</v>
      </c>
      <c r="D99" s="26">
        <v>23314.5</v>
      </c>
      <c r="E99" s="30">
        <v>2136817.5</v>
      </c>
      <c r="F99" s="30">
        <v>1701780.4779999999</v>
      </c>
      <c r="G99" s="31">
        <v>141999.40078461537</v>
      </c>
      <c r="H99" s="26" cm="1">
        <f t="array" ref="H99">INDEX(Таблица1[Количество складов],MATCH(1,(Таблица1[Дата]=Лист1!A99)*(Таблица1[Территория]=Лист1!C99),0))</f>
        <v>17</v>
      </c>
      <c r="I99" s="26" cm="1">
        <f t="array" ref="I99">INDEX(Таблица1[Количество заказов],MATCH(1,(Таблица1[Дата]=Лист1!A99)*(Таблица1[Территория]=Лист1!C99),0))</f>
        <v>1439</v>
      </c>
      <c r="J99" s="26" cm="1">
        <f t="array" ref="J99">INDEX(Таблица1[Количество клиентов],MATCH(1,(Таблица1[Дата]=Лист1!A99)*(Таблица1[Территория]=Лист1!C99),0))</f>
        <v>1265</v>
      </c>
    </row>
    <row r="100" spans="1:10" x14ac:dyDescent="0.3">
      <c r="A100" s="13">
        <v>43964</v>
      </c>
      <c r="B100" s="35">
        <f t="shared" si="1"/>
        <v>20</v>
      </c>
      <c r="C100" s="14" t="s">
        <v>10</v>
      </c>
      <c r="D100" s="25">
        <v>26464.5</v>
      </c>
      <c r="E100" s="28">
        <v>2373337.5</v>
      </c>
      <c r="F100" s="28">
        <v>1886244.7409999999</v>
      </c>
      <c r="G100" s="29">
        <v>207105.15935384613</v>
      </c>
      <c r="H100" s="25" cm="1">
        <f t="array" ref="H100">INDEX(Таблица1[Количество складов],MATCH(1,(Таблица1[Дата]=Лист1!A100)*(Таблица1[Территория]=Лист1!C100),0))</f>
        <v>19</v>
      </c>
      <c r="I100" s="25" cm="1">
        <f t="array" ref="I100">INDEX(Таблица1[Количество заказов],MATCH(1,(Таблица1[Дата]=Лист1!A100)*(Таблица1[Территория]=Лист1!C100),0))</f>
        <v>1625</v>
      </c>
      <c r="J100" s="25" cm="1">
        <f t="array" ref="J100">INDEX(Таблица1[Количество клиентов],MATCH(1,(Таблица1[Дата]=Лист1!A100)*(Таблица1[Территория]=Лист1!C100),0))</f>
        <v>1444</v>
      </c>
    </row>
    <row r="101" spans="1:10" x14ac:dyDescent="0.3">
      <c r="A101" s="15">
        <v>43954</v>
      </c>
      <c r="B101" s="36">
        <f t="shared" si="1"/>
        <v>18</v>
      </c>
      <c r="C101" s="16" t="s">
        <v>10</v>
      </c>
      <c r="D101" s="26">
        <v>23539.5</v>
      </c>
      <c r="E101" s="30">
        <v>2170309.5</v>
      </c>
      <c r="F101" s="30">
        <v>1735984.6140000001</v>
      </c>
      <c r="G101" s="31">
        <v>170377.85753846151</v>
      </c>
      <c r="H101" s="26" cm="1">
        <f t="array" ref="H101">INDEX(Таблица1[Количество складов],MATCH(1,(Таблица1[Дата]=Лист1!A101)*(Таблица1[Территория]=Лист1!C101),0))</f>
        <v>19</v>
      </c>
      <c r="I101" s="26" cm="1">
        <f t="array" ref="I101">INDEX(Таблица1[Количество заказов],MATCH(1,(Таблица1[Дата]=Лист1!A101)*(Таблица1[Территория]=Лист1!C101),0))</f>
        <v>1402</v>
      </c>
      <c r="J101" s="26" cm="1">
        <f t="array" ref="J101">INDEX(Таблица1[Количество клиентов],MATCH(1,(Таблица1[Дата]=Лист1!A101)*(Таблица1[Территория]=Лист1!C101),0))</f>
        <v>1234</v>
      </c>
    </row>
    <row r="102" spans="1:10" x14ac:dyDescent="0.3">
      <c r="A102" s="13">
        <v>43957</v>
      </c>
      <c r="B102" s="35">
        <f t="shared" si="1"/>
        <v>19</v>
      </c>
      <c r="C102" s="14" t="s">
        <v>10</v>
      </c>
      <c r="D102" s="25">
        <v>24678</v>
      </c>
      <c r="E102" s="28">
        <v>2232519</v>
      </c>
      <c r="F102" s="28">
        <v>1781999.058</v>
      </c>
      <c r="G102" s="29">
        <v>359577.90600769228</v>
      </c>
      <c r="H102" s="25" cm="1">
        <f t="array" ref="H102">INDEX(Таблица1[Количество складов],MATCH(1,(Таблица1[Дата]=Лист1!A102)*(Таблица1[Территория]=Лист1!C102),0))</f>
        <v>19</v>
      </c>
      <c r="I102" s="25" cm="1">
        <f t="array" ref="I102">INDEX(Таблица1[Количество заказов],MATCH(1,(Таблица1[Дата]=Лист1!A102)*(Таблица1[Территория]=Лист1!C102),0))</f>
        <v>1499</v>
      </c>
      <c r="J102" s="25" cm="1">
        <f t="array" ref="J102">INDEX(Таблица1[Количество клиентов],MATCH(1,(Таблица1[Дата]=Лист1!A102)*(Таблица1[Территория]=Лист1!C102),0))</f>
        <v>1323</v>
      </c>
    </row>
    <row r="103" spans="1:10" x14ac:dyDescent="0.3">
      <c r="A103" s="15">
        <v>43974</v>
      </c>
      <c r="B103" s="36">
        <f t="shared" si="1"/>
        <v>21</v>
      </c>
      <c r="C103" s="16" t="s">
        <v>10</v>
      </c>
      <c r="D103" s="26">
        <v>38176.5</v>
      </c>
      <c r="E103" s="30">
        <v>3385372.5</v>
      </c>
      <c r="F103" s="30">
        <v>2831498.2739999997</v>
      </c>
      <c r="G103" s="31">
        <v>146460.30097692306</v>
      </c>
      <c r="H103" s="26" cm="1">
        <f t="array" ref="H103">INDEX(Таблица1[Количество складов],MATCH(1,(Таблица1[Дата]=Лист1!A103)*(Таблица1[Территория]=Лист1!C103),0))</f>
        <v>20</v>
      </c>
      <c r="I103" s="26" cm="1">
        <f t="array" ref="I103">INDEX(Таблица1[Количество заказов],MATCH(1,(Таблица1[Дата]=Лист1!A103)*(Таблица1[Территория]=Лист1!C103),0))</f>
        <v>2266</v>
      </c>
      <c r="J103" s="26" cm="1">
        <f t="array" ref="J103">INDEX(Таблица1[Количество клиентов],MATCH(1,(Таблица1[Дата]=Лист1!A103)*(Таблица1[Территория]=Лист1!C103),0))</f>
        <v>1993</v>
      </c>
    </row>
    <row r="104" spans="1:10" x14ac:dyDescent="0.3">
      <c r="A104" s="13">
        <v>43976</v>
      </c>
      <c r="B104" s="35">
        <f t="shared" si="1"/>
        <v>22</v>
      </c>
      <c r="C104" s="14" t="s">
        <v>10</v>
      </c>
      <c r="D104" s="25">
        <v>30603</v>
      </c>
      <c r="E104" s="28">
        <v>2865727.5</v>
      </c>
      <c r="F104" s="28">
        <v>2288224.429</v>
      </c>
      <c r="G104" s="29">
        <v>167381.28187692308</v>
      </c>
      <c r="H104" s="25" cm="1">
        <f t="array" ref="H104">INDEX(Таблица1[Количество складов],MATCH(1,(Таблица1[Дата]=Лист1!A104)*(Таблица1[Территория]=Лист1!C104),0))</f>
        <v>20</v>
      </c>
      <c r="I104" s="25" cm="1">
        <f t="array" ref="I104">INDEX(Таблица1[Количество заказов],MATCH(1,(Таблица1[Дата]=Лист1!A104)*(Таблица1[Территория]=Лист1!C104),0))</f>
        <v>2011</v>
      </c>
      <c r="J104" s="25" cm="1">
        <f t="array" ref="J104">INDEX(Таблица1[Количество клиентов],MATCH(1,(Таблица1[Дата]=Лист1!A104)*(Таблица1[Территория]=Лист1!C104),0))</f>
        <v>1791</v>
      </c>
    </row>
    <row r="105" spans="1:10" x14ac:dyDescent="0.3">
      <c r="A105" s="15">
        <v>43951</v>
      </c>
      <c r="B105" s="36">
        <f t="shared" si="1"/>
        <v>18</v>
      </c>
      <c r="C105" s="16" t="s">
        <v>10</v>
      </c>
      <c r="D105" s="26">
        <v>24211.5</v>
      </c>
      <c r="E105" s="30">
        <v>2267664</v>
      </c>
      <c r="F105" s="30">
        <v>1801564.392</v>
      </c>
      <c r="G105" s="31">
        <v>97090.63692307692</v>
      </c>
      <c r="H105" s="26" cm="1">
        <f t="array" ref="H105">INDEX(Таблица1[Количество складов],MATCH(1,(Таблица1[Дата]=Лист1!A105)*(Таблица1[Территория]=Лист1!C105),0))</f>
        <v>19</v>
      </c>
      <c r="I105" s="26" cm="1">
        <f t="array" ref="I105">INDEX(Таблица1[Количество заказов],MATCH(1,(Таблица1[Дата]=Лист1!A105)*(Таблица1[Территория]=Лист1!C105),0))</f>
        <v>1499</v>
      </c>
      <c r="J105" s="26" cm="1">
        <f t="array" ref="J105">INDEX(Таблица1[Количество клиентов],MATCH(1,(Таблица1[Дата]=Лист1!A105)*(Таблица1[Территория]=Лист1!C105),0))</f>
        <v>1322</v>
      </c>
    </row>
    <row r="106" spans="1:10" x14ac:dyDescent="0.3">
      <c r="A106" s="13">
        <v>43961</v>
      </c>
      <c r="B106" s="35">
        <f t="shared" si="1"/>
        <v>19</v>
      </c>
      <c r="C106" s="14" t="s">
        <v>10</v>
      </c>
      <c r="D106" s="25">
        <v>31399.5</v>
      </c>
      <c r="E106" s="28">
        <v>2862298.5</v>
      </c>
      <c r="F106" s="28">
        <v>2267667.5189999999</v>
      </c>
      <c r="G106" s="29">
        <v>169650.86923076923</v>
      </c>
      <c r="H106" s="25" cm="1">
        <f t="array" ref="H106">INDEX(Таблица1[Количество складов],MATCH(1,(Таблица1[Дата]=Лист1!A106)*(Таблица1[Территория]=Лист1!C106),0))</f>
        <v>19</v>
      </c>
      <c r="I106" s="25" cm="1">
        <f t="array" ref="I106">INDEX(Таблица1[Количество заказов],MATCH(1,(Таблица1[Дата]=Лист1!A106)*(Таблица1[Территория]=Лист1!C106),0))</f>
        <v>1848</v>
      </c>
      <c r="J106" s="25" cm="1">
        <f t="array" ref="J106">INDEX(Таблица1[Количество клиентов],MATCH(1,(Таблица1[Дата]=Лист1!A106)*(Таблица1[Территория]=Лист1!C106),0))</f>
        <v>1649</v>
      </c>
    </row>
    <row r="107" spans="1:10" x14ac:dyDescent="0.3">
      <c r="A107" s="15">
        <v>43959</v>
      </c>
      <c r="B107" s="36">
        <f t="shared" si="1"/>
        <v>19</v>
      </c>
      <c r="C107" s="16" t="s">
        <v>10</v>
      </c>
      <c r="D107" s="26">
        <v>25294.5</v>
      </c>
      <c r="E107" s="30">
        <v>2271454.5</v>
      </c>
      <c r="F107" s="30">
        <v>1811009.8979999998</v>
      </c>
      <c r="G107" s="31">
        <v>151659.17713846153</v>
      </c>
      <c r="H107" s="26" cm="1">
        <f t="array" ref="H107">INDEX(Таблица1[Количество складов],MATCH(1,(Таблица1[Дата]=Лист1!A107)*(Таблица1[Территория]=Лист1!C107),0))</f>
        <v>19</v>
      </c>
      <c r="I107" s="26" cm="1">
        <f t="array" ref="I107">INDEX(Таблица1[Количество заказов],MATCH(1,(Таблица1[Дата]=Лист1!A107)*(Таблица1[Территория]=Лист1!C107),0))</f>
        <v>1522</v>
      </c>
      <c r="J107" s="26" cm="1">
        <f t="array" ref="J107">INDEX(Таблица1[Количество клиентов],MATCH(1,(Таблица1[Дата]=Лист1!A107)*(Таблица1[Территория]=Лист1!C107),0))</f>
        <v>1340</v>
      </c>
    </row>
    <row r="108" spans="1:10" x14ac:dyDescent="0.3">
      <c r="A108" s="13">
        <v>43958</v>
      </c>
      <c r="B108" s="35">
        <f t="shared" si="1"/>
        <v>19</v>
      </c>
      <c r="C108" s="14" t="s">
        <v>10</v>
      </c>
      <c r="D108" s="25">
        <v>25468.5</v>
      </c>
      <c r="E108" s="28">
        <v>2350672.5</v>
      </c>
      <c r="F108" s="28">
        <v>1875294.65</v>
      </c>
      <c r="G108" s="29">
        <v>221739.45623076922</v>
      </c>
      <c r="H108" s="25" cm="1">
        <f t="array" ref="H108">INDEX(Таблица1[Количество складов],MATCH(1,(Таблица1[Дата]=Лист1!A108)*(Таблица1[Территория]=Лист1!C108),0))</f>
        <v>19</v>
      </c>
      <c r="I108" s="25" cm="1">
        <f t="array" ref="I108">INDEX(Таблица1[Количество заказов],MATCH(1,(Таблица1[Дата]=Лист1!A108)*(Таблица1[Территория]=Лист1!C108),0))</f>
        <v>1530</v>
      </c>
      <c r="J108" s="25" cm="1">
        <f t="array" ref="J108">INDEX(Таблица1[Количество клиентов],MATCH(1,(Таблица1[Дата]=Лист1!A108)*(Таблица1[Территория]=Лист1!C108),0))</f>
        <v>1338</v>
      </c>
    </row>
    <row r="109" spans="1:10" x14ac:dyDescent="0.3">
      <c r="A109" s="15">
        <v>43975</v>
      </c>
      <c r="B109" s="36">
        <f t="shared" si="1"/>
        <v>21</v>
      </c>
      <c r="C109" s="16" t="s">
        <v>10</v>
      </c>
      <c r="D109" s="26">
        <v>31854</v>
      </c>
      <c r="E109" s="30">
        <v>2915533.5</v>
      </c>
      <c r="F109" s="30">
        <v>2431800.3939999999</v>
      </c>
      <c r="G109" s="31">
        <v>155421.87692307692</v>
      </c>
      <c r="H109" s="26" cm="1">
        <f t="array" ref="H109">INDEX(Таблица1[Количество складов],MATCH(1,(Таблица1[Дата]=Лист1!A109)*(Таблица1[Территория]=Лист1!C109),0))</f>
        <v>20</v>
      </c>
      <c r="I109" s="26" cm="1">
        <f t="array" ref="I109">INDEX(Таблица1[Количество заказов],MATCH(1,(Таблица1[Дата]=Лист1!A109)*(Таблица1[Территория]=Лист1!C109),0))</f>
        <v>2015</v>
      </c>
      <c r="J109" s="26" cm="1">
        <f t="array" ref="J109">INDEX(Таблица1[Количество клиентов],MATCH(1,(Таблица1[Дата]=Лист1!A109)*(Таблица1[Территория]=Лист1!C109),0))</f>
        <v>1803</v>
      </c>
    </row>
    <row r="110" spans="1:10" x14ac:dyDescent="0.3">
      <c r="A110" s="13">
        <v>43982</v>
      </c>
      <c r="B110" s="35">
        <f t="shared" si="1"/>
        <v>22</v>
      </c>
      <c r="C110" s="14" t="s">
        <v>10</v>
      </c>
      <c r="D110" s="25">
        <v>32359.5</v>
      </c>
      <c r="E110" s="28">
        <v>2991999</v>
      </c>
      <c r="F110" s="28">
        <v>2374135.6799999997</v>
      </c>
      <c r="G110" s="29">
        <v>106116.64615384616</v>
      </c>
      <c r="H110" s="25" cm="1">
        <f t="array" ref="H110">INDEX(Таблица1[Количество складов],MATCH(1,(Таблица1[Дата]=Лист1!A110)*(Таблица1[Территория]=Лист1!C110),0))</f>
        <v>20</v>
      </c>
      <c r="I110" s="25" cm="1">
        <f t="array" ref="I110">INDEX(Таблица1[Количество заказов],MATCH(1,(Таблица1[Дата]=Лист1!A110)*(Таблица1[Территория]=Лист1!C110),0))</f>
        <v>2060</v>
      </c>
      <c r="J110" s="25" cm="1">
        <f t="array" ref="J110">INDEX(Таблица1[Количество клиентов],MATCH(1,(Таблица1[Дата]=Лист1!A110)*(Таблица1[Территория]=Лист1!C110),0))</f>
        <v>1826</v>
      </c>
    </row>
    <row r="111" spans="1:10" x14ac:dyDescent="0.3">
      <c r="A111" s="15">
        <v>43981</v>
      </c>
      <c r="B111" s="36">
        <f t="shared" si="1"/>
        <v>22</v>
      </c>
      <c r="C111" s="16" t="s">
        <v>10</v>
      </c>
      <c r="D111" s="26">
        <v>39867</v>
      </c>
      <c r="E111" s="30">
        <v>3654166.5</v>
      </c>
      <c r="F111" s="30">
        <v>2919786.2949999999</v>
      </c>
      <c r="G111" s="31">
        <v>182639.11723076922</v>
      </c>
      <c r="H111" s="26" cm="1">
        <f t="array" ref="H111">INDEX(Таблица1[Количество складов],MATCH(1,(Таблица1[Дата]=Лист1!A111)*(Таблица1[Территория]=Лист1!C111),0))</f>
        <v>20</v>
      </c>
      <c r="I111" s="26" cm="1">
        <f t="array" ref="I111">INDEX(Таблица1[Количество заказов],MATCH(1,(Таблица1[Дата]=Лист1!A111)*(Таблица1[Территория]=Лист1!C111),0))</f>
        <v>2451</v>
      </c>
      <c r="J111" s="26" cm="1">
        <f t="array" ref="J111">INDEX(Таблица1[Количество клиентов],MATCH(1,(Таблица1[Дата]=Лист1!A111)*(Таблица1[Территория]=Лист1!C111),0))</f>
        <v>2178</v>
      </c>
    </row>
    <row r="112" spans="1:10" x14ac:dyDescent="0.3">
      <c r="A112" s="13">
        <v>43979</v>
      </c>
      <c r="B112" s="35">
        <f t="shared" si="1"/>
        <v>22</v>
      </c>
      <c r="C112" s="14" t="s">
        <v>10</v>
      </c>
      <c r="D112" s="25">
        <v>31974</v>
      </c>
      <c r="E112" s="28">
        <v>3004213.5</v>
      </c>
      <c r="F112" s="28">
        <v>2389834.3129999996</v>
      </c>
      <c r="G112" s="29">
        <v>174780.66518461538</v>
      </c>
      <c r="H112" s="25" cm="1">
        <f t="array" ref="H112">INDEX(Таблица1[Количество складов],MATCH(1,(Таблица1[Дата]=Лист1!A112)*(Таблица1[Территория]=Лист1!C112),0))</f>
        <v>20</v>
      </c>
      <c r="I112" s="25" cm="1">
        <f t="array" ref="I112">INDEX(Таблица1[Количество заказов],MATCH(1,(Таблица1[Дата]=Лист1!A112)*(Таблица1[Территория]=Лист1!C112),0))</f>
        <v>2088</v>
      </c>
      <c r="J112" s="25" cm="1">
        <f t="array" ref="J112">INDEX(Таблица1[Количество клиентов],MATCH(1,(Таблица1[Дата]=Лист1!A112)*(Таблица1[Территория]=Лист1!C112),0))</f>
        <v>1848</v>
      </c>
    </row>
    <row r="113" spans="1:10" x14ac:dyDescent="0.3">
      <c r="A113" s="15">
        <v>43967</v>
      </c>
      <c r="B113" s="36">
        <f t="shared" si="1"/>
        <v>20</v>
      </c>
      <c r="C113" s="16" t="s">
        <v>16</v>
      </c>
      <c r="D113" s="26">
        <v>321412.5</v>
      </c>
      <c r="E113" s="30">
        <v>32235864</v>
      </c>
      <c r="F113" s="30">
        <v>23691368.555</v>
      </c>
      <c r="G113" s="31">
        <v>595097.15929230768</v>
      </c>
      <c r="H113" s="26" cm="1">
        <f t="array" ref="H113">INDEX(Таблица1[Количество складов],MATCH(1,(Таблица1[Дата]=Лист1!A113)*(Таблица1[Территория]=Лист1!C113),0))</f>
        <v>129</v>
      </c>
      <c r="I113" s="26" cm="1">
        <f t="array" ref="I113">INDEX(Таблица1[Количество заказов],MATCH(1,(Таблица1[Дата]=Лист1!A113)*(Таблица1[Территория]=Лист1!C113),0))</f>
        <v>17914</v>
      </c>
      <c r="J113" s="26" cm="1">
        <f t="array" ref="J113">INDEX(Таблица1[Количество клиентов],MATCH(1,(Таблица1[Дата]=Лист1!A113)*(Таблица1[Территория]=Лист1!C113),0))</f>
        <v>16631</v>
      </c>
    </row>
    <row r="114" spans="1:10" x14ac:dyDescent="0.3">
      <c r="A114" s="13">
        <v>43970</v>
      </c>
      <c r="B114" s="35">
        <f t="shared" si="1"/>
        <v>21</v>
      </c>
      <c r="C114" s="14" t="s">
        <v>16</v>
      </c>
      <c r="D114" s="25">
        <v>276568.5</v>
      </c>
      <c r="E114" s="28">
        <v>27093624</v>
      </c>
      <c r="F114" s="28">
        <v>19768696.5</v>
      </c>
      <c r="G114" s="29">
        <v>759335.80469230772</v>
      </c>
      <c r="H114" s="25" cm="1">
        <f t="array" ref="H114">INDEX(Таблица1[Количество складов],MATCH(1,(Таблица1[Дата]=Лист1!A114)*(Таблица1[Территория]=Лист1!C114),0))</f>
        <v>129</v>
      </c>
      <c r="I114" s="25" cm="1">
        <f t="array" ref="I114">INDEX(Таблица1[Количество заказов],MATCH(1,(Таблица1[Дата]=Лист1!A114)*(Таблица1[Территория]=Лист1!C114),0))</f>
        <v>16191</v>
      </c>
      <c r="J114" s="25" cm="1">
        <f t="array" ref="J114">INDEX(Таблица1[Количество клиентов],MATCH(1,(Таблица1[Дата]=Лист1!A114)*(Таблица1[Территория]=Лист1!C114),0))</f>
        <v>15102</v>
      </c>
    </row>
    <row r="115" spans="1:10" x14ac:dyDescent="0.3">
      <c r="A115" s="15">
        <v>43968</v>
      </c>
      <c r="B115" s="36">
        <f t="shared" si="1"/>
        <v>20</v>
      </c>
      <c r="C115" s="16" t="s">
        <v>16</v>
      </c>
      <c r="D115" s="26">
        <v>269029.5</v>
      </c>
      <c r="E115" s="30">
        <v>26659930.5</v>
      </c>
      <c r="F115" s="30">
        <v>19515982.116</v>
      </c>
      <c r="G115" s="31">
        <v>551393.4769230769</v>
      </c>
      <c r="H115" s="26" cm="1">
        <f t="array" ref="H115">INDEX(Таблица1[Количество складов],MATCH(1,(Таблица1[Дата]=Лист1!A115)*(Таблица1[Территория]=Лист1!C115),0))</f>
        <v>129</v>
      </c>
      <c r="I115" s="26" cm="1">
        <f t="array" ref="I115">INDEX(Таблица1[Количество заказов],MATCH(1,(Таблица1[Дата]=Лист1!A115)*(Таблица1[Территория]=Лист1!C115),0))</f>
        <v>15744</v>
      </c>
      <c r="J115" s="26" cm="1">
        <f t="array" ref="J115">INDEX(Таблица1[Количество клиентов],MATCH(1,(Таблица1[Дата]=Лист1!A115)*(Таблица1[Территория]=Лист1!C115),0))</f>
        <v>14685</v>
      </c>
    </row>
    <row r="116" spans="1:10" x14ac:dyDescent="0.3">
      <c r="A116" s="13">
        <v>43960</v>
      </c>
      <c r="B116" s="35">
        <f t="shared" si="1"/>
        <v>19</v>
      </c>
      <c r="C116" s="14" t="s">
        <v>16</v>
      </c>
      <c r="D116" s="25">
        <v>285972</v>
      </c>
      <c r="E116" s="28">
        <v>29768199</v>
      </c>
      <c r="F116" s="28">
        <v>21483666.921</v>
      </c>
      <c r="G116" s="29">
        <v>549316.95015384618</v>
      </c>
      <c r="H116" s="25" cm="1">
        <f t="array" ref="H116">INDEX(Таблица1[Количество складов],MATCH(1,(Таблица1[Дата]=Лист1!A116)*(Таблица1[Территория]=Лист1!C116),0))</f>
        <v>129</v>
      </c>
      <c r="I116" s="25" cm="1">
        <f t="array" ref="I116">INDEX(Таблица1[Количество заказов],MATCH(1,(Таблица1[Дата]=Лист1!A116)*(Таблица1[Территория]=Лист1!C116),0))</f>
        <v>16420</v>
      </c>
      <c r="J116" s="25" cm="1">
        <f t="array" ref="J116">INDEX(Таблица1[Количество клиентов],MATCH(1,(Таблица1[Дата]=Лист1!A116)*(Таблица1[Территория]=Лист1!C116),0))</f>
        <v>15169</v>
      </c>
    </row>
    <row r="117" spans="1:10" x14ac:dyDescent="0.3">
      <c r="A117" s="15">
        <v>43955</v>
      </c>
      <c r="B117" s="36">
        <f t="shared" si="1"/>
        <v>19</v>
      </c>
      <c r="C117" s="16" t="s">
        <v>16</v>
      </c>
      <c r="D117" s="26">
        <v>283942.5</v>
      </c>
      <c r="E117" s="30">
        <v>29357940</v>
      </c>
      <c r="F117" s="30">
        <v>21174604.830000002</v>
      </c>
      <c r="G117" s="31">
        <v>988153.40803076921</v>
      </c>
      <c r="H117" s="26" cm="1">
        <f t="array" ref="H117">INDEX(Таблица1[Количество складов],MATCH(1,(Таблица1[Дата]=Лист1!A117)*(Таблица1[Территория]=Лист1!C117),0))</f>
        <v>129</v>
      </c>
      <c r="I117" s="26" cm="1">
        <f t="array" ref="I117">INDEX(Таблица1[Количество заказов],MATCH(1,(Таблица1[Дата]=Лист1!A117)*(Таблица1[Территория]=Лист1!C117),0))</f>
        <v>16525</v>
      </c>
      <c r="J117" s="26" cm="1">
        <f t="array" ref="J117">INDEX(Таблица1[Количество клиентов],MATCH(1,(Таблица1[Дата]=Лист1!A117)*(Таблица1[Территория]=Лист1!C117),0))</f>
        <v>15310</v>
      </c>
    </row>
    <row r="118" spans="1:10" x14ac:dyDescent="0.3">
      <c r="A118" s="13">
        <v>43950</v>
      </c>
      <c r="B118" s="35">
        <f t="shared" si="1"/>
        <v>18</v>
      </c>
      <c r="C118" s="14" t="s">
        <v>16</v>
      </c>
      <c r="D118" s="25">
        <v>298059</v>
      </c>
      <c r="E118" s="28">
        <v>30869287.5</v>
      </c>
      <c r="F118" s="28">
        <v>22717731.617999997</v>
      </c>
      <c r="G118" s="29">
        <v>661329.17833846144</v>
      </c>
      <c r="H118" s="25" cm="1">
        <f t="array" ref="H118">INDEX(Таблица1[Количество складов],MATCH(1,(Таблица1[Дата]=Лист1!A118)*(Таблица1[Территория]=Лист1!C118),0))</f>
        <v>128</v>
      </c>
      <c r="I118" s="25" cm="1">
        <f t="array" ref="I118">INDEX(Таблица1[Количество заказов],MATCH(1,(Таблица1[Дата]=Лист1!A118)*(Таблица1[Территория]=Лист1!C118),0))</f>
        <v>17368</v>
      </c>
      <c r="J118" s="25" cm="1">
        <f t="array" ref="J118">INDEX(Таблица1[Количество клиентов],MATCH(1,(Таблица1[Дата]=Лист1!A118)*(Таблица1[Территория]=Лист1!C118),0))</f>
        <v>16077</v>
      </c>
    </row>
    <row r="119" spans="1:10" x14ac:dyDescent="0.3">
      <c r="A119" s="15">
        <v>43953</v>
      </c>
      <c r="B119" s="36">
        <f t="shared" si="1"/>
        <v>18</v>
      </c>
      <c r="C119" s="16" t="s">
        <v>16</v>
      </c>
      <c r="D119" s="26">
        <v>232903.5</v>
      </c>
      <c r="E119" s="30">
        <v>24342016.5</v>
      </c>
      <c r="F119" s="30">
        <v>17790852.443999998</v>
      </c>
      <c r="G119" s="31">
        <v>634118.86923076923</v>
      </c>
      <c r="H119" s="26" cm="1">
        <f t="array" ref="H119">INDEX(Таблица1[Количество складов],MATCH(1,(Таблица1[Дата]=Лист1!A119)*(Таблица1[Территория]=Лист1!C119),0))</f>
        <v>129</v>
      </c>
      <c r="I119" s="26" cm="1">
        <f t="array" ref="I119">INDEX(Таблица1[Количество заказов],MATCH(1,(Таблица1[Дата]=Лист1!A119)*(Таблица1[Территория]=Лист1!C119),0))</f>
        <v>14009</v>
      </c>
      <c r="J119" s="26" cm="1">
        <f t="array" ref="J119">INDEX(Таблица1[Количество клиентов],MATCH(1,(Таблица1[Дата]=Лист1!A119)*(Таблица1[Территория]=Лист1!C119),0))</f>
        <v>12920</v>
      </c>
    </row>
    <row r="120" spans="1:10" x14ac:dyDescent="0.3">
      <c r="A120" s="13">
        <v>43977</v>
      </c>
      <c r="B120" s="35">
        <f t="shared" si="1"/>
        <v>22</v>
      </c>
      <c r="C120" s="14" t="s">
        <v>16</v>
      </c>
      <c r="D120" s="25">
        <v>276966</v>
      </c>
      <c r="E120" s="28">
        <v>27872617.898850001</v>
      </c>
      <c r="F120" s="28">
        <v>20223763.805</v>
      </c>
      <c r="G120" s="29">
        <v>645572.57826153841</v>
      </c>
      <c r="H120" s="25" cm="1">
        <f t="array" ref="H120">INDEX(Таблица1[Количество складов],MATCH(1,(Таблица1[Дата]=Лист1!A120)*(Таблица1[Территория]=Лист1!C120),0))</f>
        <v>129</v>
      </c>
      <c r="I120" s="25" cm="1">
        <f t="array" ref="I120">INDEX(Таблица1[Количество заказов],MATCH(1,(Таблица1[Дата]=Лист1!A120)*(Таблица1[Территория]=Лист1!C120),0))</f>
        <v>16459</v>
      </c>
      <c r="J120" s="25" cm="1">
        <f t="array" ref="J120">INDEX(Таблица1[Количество клиентов],MATCH(1,(Таблица1[Дата]=Лист1!A120)*(Таблица1[Территория]=Лист1!C120),0))</f>
        <v>15355</v>
      </c>
    </row>
    <row r="121" spans="1:10" x14ac:dyDescent="0.3">
      <c r="A121" s="15">
        <v>43952</v>
      </c>
      <c r="B121" s="36">
        <f t="shared" si="1"/>
        <v>18</v>
      </c>
      <c r="C121" s="16" t="s">
        <v>16</v>
      </c>
      <c r="D121" s="26">
        <v>296149.5</v>
      </c>
      <c r="E121" s="30">
        <v>31053316.5</v>
      </c>
      <c r="F121" s="30">
        <v>22737807.546999998</v>
      </c>
      <c r="G121" s="31">
        <v>896375.16923076916</v>
      </c>
      <c r="H121" s="26" cm="1">
        <f t="array" ref="H121">INDEX(Таблица1[Количество складов],MATCH(1,(Таблица1[Дата]=Лист1!A121)*(Таблица1[Территория]=Лист1!C121),0))</f>
        <v>129</v>
      </c>
      <c r="I121" s="26" cm="1">
        <f t="array" ref="I121">INDEX(Таблица1[Количество заказов],MATCH(1,(Таблица1[Дата]=Лист1!A121)*(Таблица1[Территория]=Лист1!C121),0))</f>
        <v>17002</v>
      </c>
      <c r="J121" s="26" cm="1">
        <f t="array" ref="J121">INDEX(Таблица1[Количество клиентов],MATCH(1,(Таблица1[Дата]=Лист1!A121)*(Таблица1[Территория]=Лист1!C121),0))</f>
        <v>15570</v>
      </c>
    </row>
    <row r="122" spans="1:10" x14ac:dyDescent="0.3">
      <c r="A122" s="13">
        <v>43963</v>
      </c>
      <c r="B122" s="35">
        <f t="shared" si="1"/>
        <v>20</v>
      </c>
      <c r="C122" s="14" t="s">
        <v>16</v>
      </c>
      <c r="D122" s="25">
        <v>281796</v>
      </c>
      <c r="E122" s="28">
        <v>29042520</v>
      </c>
      <c r="F122" s="28">
        <v>20980503.504999999</v>
      </c>
      <c r="G122" s="29">
        <v>776209.03169999993</v>
      </c>
      <c r="H122" s="25" cm="1">
        <f t="array" ref="H122">INDEX(Таблица1[Количество складов],MATCH(1,(Таблица1[Дата]=Лист1!A122)*(Таблица1[Территория]=Лист1!C122),0))</f>
        <v>129</v>
      </c>
      <c r="I122" s="25" cm="1">
        <f t="array" ref="I122">INDEX(Таблица1[Количество заказов],MATCH(1,(Таблица1[Дата]=Лист1!A122)*(Таблица1[Территория]=Лист1!C122),0))</f>
        <v>16387</v>
      </c>
      <c r="J122" s="25" cm="1">
        <f t="array" ref="J122">INDEX(Таблица1[Количество клиентов],MATCH(1,(Таблица1[Дата]=Лист1!A122)*(Таблица1[Территория]=Лист1!C122),0))</f>
        <v>15322</v>
      </c>
    </row>
    <row r="123" spans="1:10" x14ac:dyDescent="0.3">
      <c r="A123" s="15">
        <v>43972</v>
      </c>
      <c r="B123" s="36">
        <f t="shared" si="1"/>
        <v>21</v>
      </c>
      <c r="C123" s="16" t="s">
        <v>16</v>
      </c>
      <c r="D123" s="26">
        <v>288936</v>
      </c>
      <c r="E123" s="30">
        <v>27852900</v>
      </c>
      <c r="F123" s="30">
        <v>20824687.999000002</v>
      </c>
      <c r="G123" s="31">
        <v>822353.43936153851</v>
      </c>
      <c r="H123" s="26" cm="1">
        <f t="array" ref="H123">INDEX(Таблица1[Количество складов],MATCH(1,(Таблица1[Дата]=Лист1!A123)*(Таблица1[Территория]=Лист1!C123),0))</f>
        <v>129</v>
      </c>
      <c r="I123" s="26" cm="1">
        <f t="array" ref="I123">INDEX(Таблица1[Количество заказов],MATCH(1,(Таблица1[Дата]=Лист1!A123)*(Таблица1[Территория]=Лист1!C123),0))</f>
        <v>16373</v>
      </c>
      <c r="J123" s="26" cm="1">
        <f t="array" ref="J123">INDEX(Таблица1[Количество клиентов],MATCH(1,(Таблица1[Дата]=Лист1!A123)*(Таблица1[Территория]=Лист1!C123),0))</f>
        <v>15223</v>
      </c>
    </row>
    <row r="124" spans="1:10" x14ac:dyDescent="0.3">
      <c r="A124" s="13">
        <v>43971</v>
      </c>
      <c r="B124" s="35">
        <f t="shared" si="1"/>
        <v>21</v>
      </c>
      <c r="C124" s="14" t="s">
        <v>16</v>
      </c>
      <c r="D124" s="25">
        <v>300151.5</v>
      </c>
      <c r="E124" s="28">
        <v>29368771.617449999</v>
      </c>
      <c r="F124" s="28">
        <v>21545834.136</v>
      </c>
      <c r="G124" s="29">
        <v>1052145.9026769232</v>
      </c>
      <c r="H124" s="25" cm="1">
        <f t="array" ref="H124">INDEX(Таблица1[Количество складов],MATCH(1,(Таблица1[Дата]=Лист1!A124)*(Таблица1[Территория]=Лист1!C124),0))</f>
        <v>129</v>
      </c>
      <c r="I124" s="25" cm="1">
        <f t="array" ref="I124">INDEX(Таблица1[Количество заказов],MATCH(1,(Таблица1[Дата]=Лист1!A124)*(Таблица1[Территория]=Лист1!C124),0))</f>
        <v>17095</v>
      </c>
      <c r="J124" s="25" cm="1">
        <f t="array" ref="J124">INDEX(Таблица1[Количество клиентов],MATCH(1,(Таблица1[Дата]=Лист1!A124)*(Таблица1[Территория]=Лист1!C124),0))</f>
        <v>15919</v>
      </c>
    </row>
    <row r="125" spans="1:10" x14ac:dyDescent="0.3">
      <c r="A125" s="15">
        <v>43956</v>
      </c>
      <c r="B125" s="36">
        <f t="shared" si="1"/>
        <v>19</v>
      </c>
      <c r="C125" s="16" t="s">
        <v>16</v>
      </c>
      <c r="D125" s="26">
        <v>262734</v>
      </c>
      <c r="E125" s="30">
        <v>27278441.145</v>
      </c>
      <c r="F125" s="30">
        <v>19610637.316999998</v>
      </c>
      <c r="G125" s="31">
        <v>919330.0461538462</v>
      </c>
      <c r="H125" s="26" cm="1">
        <f t="array" ref="H125">INDEX(Таблица1[Количество складов],MATCH(1,(Таблица1[Дата]=Лист1!A125)*(Таблица1[Территория]=Лист1!C125),0))</f>
        <v>129</v>
      </c>
      <c r="I125" s="26" cm="1">
        <f t="array" ref="I125">INDEX(Таблица1[Количество заказов],MATCH(1,(Таблица1[Дата]=Лист1!A125)*(Таблица1[Территория]=Лист1!C125),0))</f>
        <v>15665</v>
      </c>
      <c r="J125" s="26" cm="1">
        <f t="array" ref="J125">INDEX(Таблица1[Количество клиентов],MATCH(1,(Таблица1[Дата]=Лист1!A125)*(Таблица1[Территория]=Лист1!C125),0))</f>
        <v>14501</v>
      </c>
    </row>
    <row r="126" spans="1:10" x14ac:dyDescent="0.3">
      <c r="A126" s="13">
        <v>43949</v>
      </c>
      <c r="B126" s="35">
        <f t="shared" si="1"/>
        <v>18</v>
      </c>
      <c r="C126" s="14" t="s">
        <v>16</v>
      </c>
      <c r="D126" s="25">
        <v>286002</v>
      </c>
      <c r="E126" s="28">
        <v>29159032.5</v>
      </c>
      <c r="F126" s="28">
        <v>21437602.310000002</v>
      </c>
      <c r="G126" s="29">
        <v>637711.59372307686</v>
      </c>
      <c r="H126" s="25" cm="1">
        <f t="array" ref="H126">INDEX(Таблица1[Количество складов],MATCH(1,(Таблица1[Дата]=Лист1!A126)*(Таблица1[Территория]=Лист1!C126),0))</f>
        <v>128</v>
      </c>
      <c r="I126" s="25" cm="1">
        <f t="array" ref="I126">INDEX(Таблица1[Количество заказов],MATCH(1,(Таблица1[Дата]=Лист1!A126)*(Таблица1[Территория]=Лист1!C126),0))</f>
        <v>16450</v>
      </c>
      <c r="J126" s="25" cm="1">
        <f t="array" ref="J126">INDEX(Таблица1[Количество клиентов],MATCH(1,(Таблица1[Дата]=Лист1!A126)*(Таблица1[Территория]=Лист1!C126),0))</f>
        <v>15320</v>
      </c>
    </row>
    <row r="127" spans="1:10" x14ac:dyDescent="0.3">
      <c r="A127" s="15">
        <v>43964</v>
      </c>
      <c r="B127" s="36">
        <f t="shared" si="1"/>
        <v>20</v>
      </c>
      <c r="C127" s="16" t="s">
        <v>16</v>
      </c>
      <c r="D127" s="26">
        <v>258459</v>
      </c>
      <c r="E127" s="30">
        <v>26467453.5</v>
      </c>
      <c r="F127" s="30">
        <v>19153152.526999999</v>
      </c>
      <c r="G127" s="31">
        <v>636197.23340769229</v>
      </c>
      <c r="H127" s="26" cm="1">
        <f t="array" ref="H127">INDEX(Таблица1[Количество складов],MATCH(1,(Таблица1[Дата]=Лист1!A127)*(Таблица1[Территория]=Лист1!C127),0))</f>
        <v>129</v>
      </c>
      <c r="I127" s="26" cm="1">
        <f t="array" ref="I127">INDEX(Таблица1[Количество заказов],MATCH(1,(Таблица1[Дата]=Лист1!A127)*(Таблица1[Территория]=Лист1!C127),0))</f>
        <v>15304</v>
      </c>
      <c r="J127" s="26" cm="1">
        <f t="array" ref="J127">INDEX(Таблица1[Количество клиентов],MATCH(1,(Таблица1[Дата]=Лист1!A127)*(Таблица1[Территория]=Лист1!C127),0))</f>
        <v>14315</v>
      </c>
    </row>
    <row r="128" spans="1:10" x14ac:dyDescent="0.3">
      <c r="A128" s="13">
        <v>43954</v>
      </c>
      <c r="B128" s="35">
        <f t="shared" si="1"/>
        <v>18</v>
      </c>
      <c r="C128" s="14" t="s">
        <v>16</v>
      </c>
      <c r="D128" s="25">
        <v>274083</v>
      </c>
      <c r="E128" s="28">
        <v>28427001</v>
      </c>
      <c r="F128" s="28">
        <v>20563887.598999999</v>
      </c>
      <c r="G128" s="29">
        <v>779849.36538461538</v>
      </c>
      <c r="H128" s="25" cm="1">
        <f t="array" ref="H128">INDEX(Таблица1[Количество складов],MATCH(1,(Таблица1[Дата]=Лист1!A128)*(Таблица1[Территория]=Лист1!C128),0))</f>
        <v>129</v>
      </c>
      <c r="I128" s="25" cm="1">
        <f t="array" ref="I128">INDEX(Таблица1[Количество заказов],MATCH(1,(Таблица1[Дата]=Лист1!A128)*(Таблица1[Территория]=Лист1!C128),0))</f>
        <v>15778</v>
      </c>
      <c r="J128" s="25" cm="1">
        <f t="array" ref="J128">INDEX(Таблица1[Количество клиентов],MATCH(1,(Таблица1[Дата]=Лист1!A128)*(Таблица1[Территория]=Лист1!C128),0))</f>
        <v>14624</v>
      </c>
    </row>
    <row r="129" spans="1:10" x14ac:dyDescent="0.3">
      <c r="A129" s="15">
        <v>43957</v>
      </c>
      <c r="B129" s="36">
        <f t="shared" si="1"/>
        <v>19</v>
      </c>
      <c r="C129" s="16" t="s">
        <v>16</v>
      </c>
      <c r="D129" s="26">
        <v>277512</v>
      </c>
      <c r="E129" s="30">
        <v>28770810.105599999</v>
      </c>
      <c r="F129" s="30">
        <v>20810852.736000001</v>
      </c>
      <c r="G129" s="31">
        <v>790162.57692307688</v>
      </c>
      <c r="H129" s="26" cm="1">
        <f t="array" ref="H129">INDEX(Таблица1[Количество складов],MATCH(1,(Таблица1[Дата]=Лист1!A129)*(Таблица1[Территория]=Лист1!C129),0))</f>
        <v>129</v>
      </c>
      <c r="I129" s="26" cm="1">
        <f t="array" ref="I129">INDEX(Таблица1[Количество заказов],MATCH(1,(Таблица1[Дата]=Лист1!A129)*(Таблица1[Территория]=Лист1!C129),0))</f>
        <v>16376</v>
      </c>
      <c r="J129" s="26" cm="1">
        <f t="array" ref="J129">INDEX(Таблица1[Количество клиентов],MATCH(1,(Таблица1[Дата]=Лист1!A129)*(Таблица1[Территория]=Лист1!C129),0))</f>
        <v>15197</v>
      </c>
    </row>
    <row r="130" spans="1:10" x14ac:dyDescent="0.3">
      <c r="A130" s="13">
        <v>43974</v>
      </c>
      <c r="B130" s="35">
        <f t="shared" si="1"/>
        <v>21</v>
      </c>
      <c r="C130" s="14" t="s">
        <v>16</v>
      </c>
      <c r="D130" s="25">
        <v>356982</v>
      </c>
      <c r="E130" s="28">
        <v>35103926.711549997</v>
      </c>
      <c r="F130" s="28">
        <v>26357141.036999997</v>
      </c>
      <c r="G130" s="29">
        <v>601482.07692307688</v>
      </c>
      <c r="H130" s="25" cm="1">
        <f t="array" ref="H130">INDEX(Таблица1[Количество складов],MATCH(1,(Таблица1[Дата]=Лист1!A130)*(Таблица1[Территория]=Лист1!C130),0))</f>
        <v>129</v>
      </c>
      <c r="I130" s="25" cm="1">
        <f t="array" ref="I130">INDEX(Таблица1[Количество заказов],MATCH(1,(Таблица1[Дата]=Лист1!A130)*(Таблица1[Территория]=Лист1!C130),0))</f>
        <v>19856</v>
      </c>
      <c r="J130" s="25" cm="1">
        <f t="array" ref="J130">INDEX(Таблица1[Количество клиентов],MATCH(1,(Таблица1[Дата]=Лист1!A130)*(Таблица1[Территория]=Лист1!C130),0))</f>
        <v>18325</v>
      </c>
    </row>
    <row r="131" spans="1:10" x14ac:dyDescent="0.3">
      <c r="A131" s="15">
        <v>43976</v>
      </c>
      <c r="B131" s="36">
        <f t="shared" ref="B131:B194" si="2">_xlfn.ISOWEEKNUM(A131)</f>
        <v>22</v>
      </c>
      <c r="C131" s="16" t="s">
        <v>16</v>
      </c>
      <c r="D131" s="26">
        <v>266983.5</v>
      </c>
      <c r="E131" s="30">
        <v>27165913.5</v>
      </c>
      <c r="F131" s="30">
        <v>19659432.722999997</v>
      </c>
      <c r="G131" s="31">
        <v>698314.9846153846</v>
      </c>
      <c r="H131" s="26" cm="1">
        <f t="array" ref="H131">INDEX(Таблица1[Количество складов],MATCH(1,(Таблица1[Дата]=Лист1!A131)*(Таблица1[Территория]=Лист1!C131),0))</f>
        <v>129</v>
      </c>
      <c r="I131" s="26" cm="1">
        <f t="array" ref="I131">INDEX(Таблица1[Количество заказов],MATCH(1,(Таблица1[Дата]=Лист1!A131)*(Таблица1[Территория]=Лист1!C131),0))</f>
        <v>15822</v>
      </c>
      <c r="J131" s="26" cm="1">
        <f t="array" ref="J131">INDEX(Таблица1[Количество клиентов],MATCH(1,(Таблица1[Дата]=Лист1!A131)*(Таблица1[Территория]=Лист1!C131),0))</f>
        <v>14753</v>
      </c>
    </row>
    <row r="132" spans="1:10" x14ac:dyDescent="0.3">
      <c r="A132" s="13">
        <v>43951</v>
      </c>
      <c r="B132" s="35">
        <f t="shared" si="2"/>
        <v>18</v>
      </c>
      <c r="C132" s="14" t="s">
        <v>16</v>
      </c>
      <c r="D132" s="25">
        <v>311131.5</v>
      </c>
      <c r="E132" s="28">
        <v>32418879</v>
      </c>
      <c r="F132" s="28">
        <v>23595019.660999998</v>
      </c>
      <c r="G132" s="29">
        <v>265444.33165384614</v>
      </c>
      <c r="H132" s="25" cm="1">
        <f t="array" ref="H132">INDEX(Таблица1[Количество складов],MATCH(1,(Таблица1[Дата]=Лист1!A132)*(Таблица1[Территория]=Лист1!C132),0))</f>
        <v>129</v>
      </c>
      <c r="I132" s="25" cm="1">
        <f t="array" ref="I132">INDEX(Таблица1[Количество заказов],MATCH(1,(Таблица1[Дата]=Лист1!A132)*(Таблица1[Территория]=Лист1!C132),0))</f>
        <v>18042</v>
      </c>
      <c r="J132" s="25" cm="1">
        <f t="array" ref="J132">INDEX(Таблица1[Количество клиентов],MATCH(1,(Таблица1[Дата]=Лист1!A132)*(Таблица1[Территория]=Лист1!C132),0))</f>
        <v>16631</v>
      </c>
    </row>
    <row r="133" spans="1:10" x14ac:dyDescent="0.3">
      <c r="A133" s="15">
        <v>43961</v>
      </c>
      <c r="B133" s="36">
        <f t="shared" si="2"/>
        <v>19</v>
      </c>
      <c r="C133" s="16" t="s">
        <v>16</v>
      </c>
      <c r="D133" s="26">
        <v>287206.5</v>
      </c>
      <c r="E133" s="30">
        <v>29536176.10605</v>
      </c>
      <c r="F133" s="30">
        <v>21276357.105999999</v>
      </c>
      <c r="G133" s="31">
        <v>541588.89356153843</v>
      </c>
      <c r="H133" s="26" cm="1">
        <f t="array" ref="H133">INDEX(Таблица1[Количество складов],MATCH(1,(Таблица1[Дата]=Лист1!A133)*(Таблица1[Территория]=Лист1!C133),0))</f>
        <v>129</v>
      </c>
      <c r="I133" s="26" cm="1">
        <f t="array" ref="I133">INDEX(Таблица1[Количество заказов],MATCH(1,(Таблица1[Дата]=Лист1!A133)*(Таблица1[Территория]=Лист1!C133),0))</f>
        <v>16437</v>
      </c>
      <c r="J133" s="26" cm="1">
        <f t="array" ref="J133">INDEX(Таблица1[Количество клиентов],MATCH(1,(Таблица1[Дата]=Лист1!A133)*(Таблица1[Территория]=Лист1!C133),0))</f>
        <v>15285</v>
      </c>
    </row>
    <row r="134" spans="1:10" x14ac:dyDescent="0.3">
      <c r="A134" s="13">
        <v>43959</v>
      </c>
      <c r="B134" s="35">
        <f t="shared" si="2"/>
        <v>19</v>
      </c>
      <c r="C134" s="14" t="s">
        <v>16</v>
      </c>
      <c r="D134" s="25">
        <v>370092</v>
      </c>
      <c r="E134" s="28">
        <v>38091556.5</v>
      </c>
      <c r="F134" s="28">
        <v>28012065.349999998</v>
      </c>
      <c r="G134" s="29">
        <v>725212.99592307687</v>
      </c>
      <c r="H134" s="25" cm="1">
        <f t="array" ref="H134">INDEX(Таблица1[Количество складов],MATCH(1,(Таблица1[Дата]=Лист1!A134)*(Таблица1[Территория]=Лист1!C134),0))</f>
        <v>129</v>
      </c>
      <c r="I134" s="25" cm="1">
        <f t="array" ref="I134">INDEX(Таблица1[Количество заказов],MATCH(1,(Таблица1[Дата]=Лист1!A134)*(Таблица1[Территория]=Лист1!C134),0))</f>
        <v>20452</v>
      </c>
      <c r="J134" s="25" cm="1">
        <f t="array" ref="J134">INDEX(Таблица1[Количество клиентов],MATCH(1,(Таблица1[Дата]=Лист1!A134)*(Таблица1[Территория]=Лист1!C134),0))</f>
        <v>18857</v>
      </c>
    </row>
    <row r="135" spans="1:10" x14ac:dyDescent="0.3">
      <c r="A135" s="15">
        <v>43958</v>
      </c>
      <c r="B135" s="36">
        <f t="shared" si="2"/>
        <v>19</v>
      </c>
      <c r="C135" s="16" t="s">
        <v>16</v>
      </c>
      <c r="D135" s="26">
        <v>247813.5</v>
      </c>
      <c r="E135" s="30">
        <v>25325271</v>
      </c>
      <c r="F135" s="30">
        <v>18582990.427999999</v>
      </c>
      <c r="G135" s="31">
        <v>865201.87857692305</v>
      </c>
      <c r="H135" s="26" cm="1">
        <f t="array" ref="H135">INDEX(Таблица1[Количество складов],MATCH(1,(Таблица1[Дата]=Лист1!A135)*(Таблица1[Территория]=Лист1!C135),0))</f>
        <v>129</v>
      </c>
      <c r="I135" s="26" cm="1">
        <f t="array" ref="I135">INDEX(Таблица1[Количество заказов],MATCH(1,(Таблица1[Дата]=Лист1!A135)*(Таблица1[Территория]=Лист1!C135),0))</f>
        <v>14582</v>
      </c>
      <c r="J135" s="26" cm="1">
        <f t="array" ref="J135">INDEX(Таблица1[Количество клиентов],MATCH(1,(Таблица1[Дата]=Лист1!A135)*(Таблица1[Территория]=Лист1!C135),0))</f>
        <v>13512</v>
      </c>
    </row>
    <row r="136" spans="1:10" x14ac:dyDescent="0.3">
      <c r="A136" s="13">
        <v>43975</v>
      </c>
      <c r="B136" s="35">
        <f t="shared" si="2"/>
        <v>21</v>
      </c>
      <c r="C136" s="14" t="s">
        <v>16</v>
      </c>
      <c r="D136" s="25">
        <v>287740.5</v>
      </c>
      <c r="E136" s="28">
        <v>28188534</v>
      </c>
      <c r="F136" s="28">
        <v>21369401.386999998</v>
      </c>
      <c r="G136" s="29">
        <v>607679.34615384613</v>
      </c>
      <c r="H136" s="25" cm="1">
        <f t="array" ref="H136">INDEX(Таблица1[Количество складов],MATCH(1,(Таблица1[Дата]=Лист1!A136)*(Таблица1[Территория]=Лист1!C136),0))</f>
        <v>129</v>
      </c>
      <c r="I136" s="25" cm="1">
        <f t="array" ref="I136">INDEX(Таблица1[Количество заказов],MATCH(1,(Таблица1[Дата]=Лист1!A136)*(Таблица1[Территория]=Лист1!C136),0))</f>
        <v>16432</v>
      </c>
      <c r="J136" s="25" cm="1">
        <f t="array" ref="J136">INDEX(Таблица1[Количество клиентов],MATCH(1,(Таблица1[Дата]=Лист1!A136)*(Таблица1[Территория]=Лист1!C136),0))</f>
        <v>15345</v>
      </c>
    </row>
    <row r="137" spans="1:10" x14ac:dyDescent="0.3">
      <c r="A137" s="15">
        <v>43967</v>
      </c>
      <c r="B137" s="36">
        <f t="shared" si="2"/>
        <v>20</v>
      </c>
      <c r="C137" s="16" t="s">
        <v>15</v>
      </c>
      <c r="D137" s="26">
        <v>408810</v>
      </c>
      <c r="E137" s="30">
        <v>42323631</v>
      </c>
      <c r="F137" s="30">
        <v>31033323.692999996</v>
      </c>
      <c r="G137" s="31">
        <v>571764.09076923074</v>
      </c>
      <c r="H137" s="26" cm="1">
        <f t="array" ref="H137">INDEX(Таблица1[Количество складов],MATCH(1,(Таблица1[Дата]=Лист1!A137)*(Таблица1[Территория]=Лист1!C137),0))</f>
        <v>125</v>
      </c>
      <c r="I137" s="26" cm="1">
        <f t="array" ref="I137">INDEX(Таблица1[Количество заказов],MATCH(1,(Таблица1[Дата]=Лист1!A137)*(Таблица1[Территория]=Лист1!C137),0))</f>
        <v>22291</v>
      </c>
      <c r="J137" s="26" cm="1">
        <f t="array" ref="J137">INDEX(Таблица1[Количество клиентов],MATCH(1,(Таблица1[Дата]=Лист1!A137)*(Таблица1[Территория]=Лист1!C137),0))</f>
        <v>20635</v>
      </c>
    </row>
    <row r="138" spans="1:10" x14ac:dyDescent="0.3">
      <c r="A138" s="13">
        <v>43970</v>
      </c>
      <c r="B138" s="35">
        <f t="shared" si="2"/>
        <v>21</v>
      </c>
      <c r="C138" s="14" t="s">
        <v>15</v>
      </c>
      <c r="D138" s="25">
        <v>362536.5</v>
      </c>
      <c r="E138" s="28">
        <v>37023243</v>
      </c>
      <c r="F138" s="28">
        <v>26762183.377</v>
      </c>
      <c r="G138" s="29">
        <v>650375.76849230775</v>
      </c>
      <c r="H138" s="25" cm="1">
        <f t="array" ref="H138">INDEX(Таблица1[Количество складов],MATCH(1,(Таблица1[Дата]=Лист1!A138)*(Таблица1[Территория]=Лист1!C138),0))</f>
        <v>125</v>
      </c>
      <c r="I138" s="25" cm="1">
        <f t="array" ref="I138">INDEX(Таблица1[Количество заказов],MATCH(1,(Таблица1[Дата]=Лист1!A138)*(Таблица1[Территория]=Лист1!C138),0))</f>
        <v>20771</v>
      </c>
      <c r="J138" s="25" cm="1">
        <f t="array" ref="J138">INDEX(Таблица1[Количество клиентов],MATCH(1,(Таблица1[Дата]=Лист1!A138)*(Таблица1[Территория]=Лист1!C138),0))</f>
        <v>19338</v>
      </c>
    </row>
    <row r="139" spans="1:10" x14ac:dyDescent="0.3">
      <c r="A139" s="15">
        <v>43968</v>
      </c>
      <c r="B139" s="36">
        <f t="shared" si="2"/>
        <v>20</v>
      </c>
      <c r="C139" s="16" t="s">
        <v>15</v>
      </c>
      <c r="D139" s="26">
        <v>357072</v>
      </c>
      <c r="E139" s="30">
        <v>36834567</v>
      </c>
      <c r="F139" s="30">
        <v>26914635.671</v>
      </c>
      <c r="G139" s="31">
        <v>566638.92575384618</v>
      </c>
      <c r="H139" s="26" cm="1">
        <f t="array" ref="H139">INDEX(Таблица1[Количество складов],MATCH(1,(Таблица1[Дата]=Лист1!A139)*(Таблица1[Территория]=Лист1!C139),0))</f>
        <v>125</v>
      </c>
      <c r="I139" s="26" cm="1">
        <f t="array" ref="I139">INDEX(Таблица1[Количество заказов],MATCH(1,(Таблица1[Дата]=Лист1!A139)*(Таблица1[Территория]=Лист1!C139),0))</f>
        <v>20079</v>
      </c>
      <c r="J139" s="26" cm="1">
        <f t="array" ref="J139">INDEX(Таблица1[Количество клиентов],MATCH(1,(Таблица1[Дата]=Лист1!A139)*(Таблица1[Территория]=Лист1!C139),0))</f>
        <v>18721</v>
      </c>
    </row>
    <row r="140" spans="1:10" x14ac:dyDescent="0.3">
      <c r="A140" s="13">
        <v>43960</v>
      </c>
      <c r="B140" s="35">
        <f t="shared" si="2"/>
        <v>19</v>
      </c>
      <c r="C140" s="14" t="s">
        <v>15</v>
      </c>
      <c r="D140" s="25">
        <v>359214</v>
      </c>
      <c r="E140" s="28">
        <v>38693427</v>
      </c>
      <c r="F140" s="28">
        <v>27863789.055</v>
      </c>
      <c r="G140" s="29">
        <v>582268.72615384613</v>
      </c>
      <c r="H140" s="25" cm="1">
        <f t="array" ref="H140">INDEX(Таблица1[Количество складов],MATCH(1,(Таблица1[Дата]=Лист1!A140)*(Таблица1[Территория]=Лист1!C140),0))</f>
        <v>125</v>
      </c>
      <c r="I140" s="25" cm="1">
        <f t="array" ref="I140">INDEX(Таблица1[Количество заказов],MATCH(1,(Таблица1[Дата]=Лист1!A140)*(Таблица1[Территория]=Лист1!C140),0))</f>
        <v>20132</v>
      </c>
      <c r="J140" s="25" cm="1">
        <f t="array" ref="J140">INDEX(Таблица1[Количество клиентов],MATCH(1,(Таблица1[Дата]=Лист1!A140)*(Таблица1[Территория]=Лист1!C140),0))</f>
        <v>18617</v>
      </c>
    </row>
    <row r="141" spans="1:10" x14ac:dyDescent="0.3">
      <c r="A141" s="15">
        <v>43955</v>
      </c>
      <c r="B141" s="36">
        <f t="shared" si="2"/>
        <v>19</v>
      </c>
      <c r="C141" s="16" t="s">
        <v>15</v>
      </c>
      <c r="D141" s="26">
        <v>360255</v>
      </c>
      <c r="E141" s="30">
        <v>38406954</v>
      </c>
      <c r="F141" s="30">
        <v>27588003.988000002</v>
      </c>
      <c r="G141" s="31">
        <v>1078421.345076923</v>
      </c>
      <c r="H141" s="26" cm="1">
        <f t="array" ref="H141">INDEX(Таблица1[Количество складов],MATCH(1,(Таблица1[Дата]=Лист1!A141)*(Таблица1[Территория]=Лист1!C141),0))</f>
        <v>125</v>
      </c>
      <c r="I141" s="26" cm="1">
        <f t="array" ref="I141">INDEX(Таблица1[Количество заказов],MATCH(1,(Таблица1[Дата]=Лист1!A141)*(Таблица1[Территория]=Лист1!C141),0))</f>
        <v>20495</v>
      </c>
      <c r="J141" s="26" cm="1">
        <f t="array" ref="J141">INDEX(Таблица1[Количество клиентов],MATCH(1,(Таблица1[Дата]=Лист1!A141)*(Таблица1[Территория]=Лист1!C141),0))</f>
        <v>18964</v>
      </c>
    </row>
    <row r="142" spans="1:10" x14ac:dyDescent="0.3">
      <c r="A142" s="13">
        <v>43950</v>
      </c>
      <c r="B142" s="35">
        <f t="shared" si="2"/>
        <v>18</v>
      </c>
      <c r="C142" s="14" t="s">
        <v>15</v>
      </c>
      <c r="D142" s="25">
        <v>387220.5</v>
      </c>
      <c r="E142" s="28">
        <v>41559384</v>
      </c>
      <c r="F142" s="28">
        <v>30476170.214999996</v>
      </c>
      <c r="G142" s="29">
        <v>642893.56656923075</v>
      </c>
      <c r="H142" s="25" cm="1">
        <f t="array" ref="H142">INDEX(Таблица1[Количество складов],MATCH(1,(Таблица1[Дата]=Лист1!A142)*(Таблица1[Территория]=Лист1!C142),0))</f>
        <v>125</v>
      </c>
      <c r="I142" s="25" cm="1">
        <f t="array" ref="I142">INDEX(Таблица1[Количество заказов],MATCH(1,(Таблица1[Дата]=Лист1!A142)*(Таблица1[Территория]=Лист1!C142),0))</f>
        <v>21863</v>
      </c>
      <c r="J142" s="25" cm="1">
        <f t="array" ref="J142">INDEX(Таблица1[Количество клиентов],MATCH(1,(Таблица1[Дата]=Лист1!A142)*(Таблица1[Территория]=Лист1!C142),0))</f>
        <v>20160</v>
      </c>
    </row>
    <row r="143" spans="1:10" x14ac:dyDescent="0.3">
      <c r="A143" s="15">
        <v>43953</v>
      </c>
      <c r="B143" s="36">
        <f t="shared" si="2"/>
        <v>18</v>
      </c>
      <c r="C143" s="16" t="s">
        <v>15</v>
      </c>
      <c r="D143" s="26">
        <v>296580</v>
      </c>
      <c r="E143" s="30">
        <v>31843737</v>
      </c>
      <c r="F143" s="30">
        <v>23119777.98</v>
      </c>
      <c r="G143" s="31">
        <v>657754.31880000001</v>
      </c>
      <c r="H143" s="26" cm="1">
        <f t="array" ref="H143">INDEX(Таблица1[Количество складов],MATCH(1,(Таблица1[Дата]=Лист1!A143)*(Таблица1[Территория]=Лист1!C143),0))</f>
        <v>125</v>
      </c>
      <c r="I143" s="26" cm="1">
        <f t="array" ref="I143">INDEX(Таблица1[Количество заказов],MATCH(1,(Таблица1[Дата]=Лист1!A143)*(Таблица1[Территория]=Лист1!C143),0))</f>
        <v>16932</v>
      </c>
      <c r="J143" s="26" cm="1">
        <f t="array" ref="J143">INDEX(Таблица1[Количество клиентов],MATCH(1,(Таблица1[Дата]=Лист1!A143)*(Таблица1[Территория]=Лист1!C143),0))</f>
        <v>15601</v>
      </c>
    </row>
    <row r="144" spans="1:10" x14ac:dyDescent="0.3">
      <c r="A144" s="13">
        <v>43977</v>
      </c>
      <c r="B144" s="35">
        <f t="shared" si="2"/>
        <v>22</v>
      </c>
      <c r="C144" s="14" t="s">
        <v>15</v>
      </c>
      <c r="D144" s="25">
        <v>369861</v>
      </c>
      <c r="E144" s="28">
        <v>38365960.5</v>
      </c>
      <c r="F144" s="28">
        <v>27592063.502999999</v>
      </c>
      <c r="G144" s="29">
        <v>589339.03384615376</v>
      </c>
      <c r="H144" s="25" cm="1">
        <f t="array" ref="H144">INDEX(Таблица1[Количество складов],MATCH(1,(Таблица1[Дата]=Лист1!A144)*(Таблица1[Территория]=Лист1!C144),0))</f>
        <v>124</v>
      </c>
      <c r="I144" s="25" cm="1">
        <f t="array" ref="I144">INDEX(Таблица1[Количество заказов],MATCH(1,(Таблица1[Дата]=Лист1!A144)*(Таблица1[Территория]=Лист1!C144),0))</f>
        <v>21153</v>
      </c>
      <c r="J144" s="25" cm="1">
        <f t="array" ref="J144">INDEX(Таблица1[Количество клиентов],MATCH(1,(Таблица1[Дата]=Лист1!A144)*(Таблица1[Территория]=Лист1!C144),0))</f>
        <v>19673</v>
      </c>
    </row>
    <row r="145" spans="1:10" x14ac:dyDescent="0.3">
      <c r="A145" s="15">
        <v>43952</v>
      </c>
      <c r="B145" s="36">
        <f t="shared" si="2"/>
        <v>18</v>
      </c>
      <c r="C145" s="16" t="s">
        <v>15</v>
      </c>
      <c r="D145" s="26">
        <v>372504</v>
      </c>
      <c r="E145" s="30">
        <v>40077193.5</v>
      </c>
      <c r="F145" s="30">
        <v>29141359.438000001</v>
      </c>
      <c r="G145" s="31">
        <v>848425.41843846149</v>
      </c>
      <c r="H145" s="26" cm="1">
        <f t="array" ref="H145">INDEX(Таблица1[Количество складов],MATCH(1,(Таблица1[Дата]=Лист1!A145)*(Таблица1[Территория]=Лист1!C145),0))</f>
        <v>125</v>
      </c>
      <c r="I145" s="26" cm="1">
        <f t="array" ref="I145">INDEX(Таблица1[Количество заказов],MATCH(1,(Таблица1[Дата]=Лист1!A145)*(Таблица1[Территория]=Лист1!C145),0))</f>
        <v>20602</v>
      </c>
      <c r="J145" s="26" cm="1">
        <f t="array" ref="J145">INDEX(Таблица1[Количество клиентов],MATCH(1,(Таблица1[Дата]=Лист1!A145)*(Таблица1[Территория]=Лист1!C145),0))</f>
        <v>18845</v>
      </c>
    </row>
    <row r="146" spans="1:10" x14ac:dyDescent="0.3">
      <c r="A146" s="13">
        <v>43963</v>
      </c>
      <c r="B146" s="35">
        <f t="shared" si="2"/>
        <v>20</v>
      </c>
      <c r="C146" s="14" t="s">
        <v>15</v>
      </c>
      <c r="D146" s="25">
        <v>373392</v>
      </c>
      <c r="E146" s="28">
        <v>39578577</v>
      </c>
      <c r="F146" s="28">
        <v>28453665.594999999</v>
      </c>
      <c r="G146" s="29">
        <v>535419.89796923078</v>
      </c>
      <c r="H146" s="25" cm="1">
        <f t="array" ref="H146">INDEX(Таблица1[Количество складов],MATCH(1,(Таблица1[Дата]=Лист1!A146)*(Таблица1[Территория]=Лист1!C146),0))</f>
        <v>125</v>
      </c>
      <c r="I146" s="25" cm="1">
        <f t="array" ref="I146">INDEX(Таблица1[Количество заказов],MATCH(1,(Таблица1[Дата]=Лист1!A146)*(Таблица1[Территория]=Лист1!C146),0))</f>
        <v>21106</v>
      </c>
      <c r="J146" s="25" cm="1">
        <f t="array" ref="J146">INDEX(Таблица1[Количество клиентов],MATCH(1,(Таблица1[Дата]=Лист1!A146)*(Таблица1[Территория]=Лист1!C146),0))</f>
        <v>19651</v>
      </c>
    </row>
    <row r="147" spans="1:10" x14ac:dyDescent="0.3">
      <c r="A147" s="15">
        <v>43972</v>
      </c>
      <c r="B147" s="36">
        <f t="shared" si="2"/>
        <v>21</v>
      </c>
      <c r="C147" s="16" t="s">
        <v>15</v>
      </c>
      <c r="D147" s="26">
        <v>378043.5</v>
      </c>
      <c r="E147" s="30">
        <v>37902156.57</v>
      </c>
      <c r="F147" s="30">
        <v>28083686.689999998</v>
      </c>
      <c r="G147" s="31">
        <v>713697.60769230768</v>
      </c>
      <c r="H147" s="26" cm="1">
        <f t="array" ref="H147">INDEX(Таблица1[Количество складов],MATCH(1,(Таблица1[Дата]=Лист1!A147)*(Таблица1[Территория]=Лист1!C147),0))</f>
        <v>125</v>
      </c>
      <c r="I147" s="26" cm="1">
        <f t="array" ref="I147">INDEX(Таблица1[Количество заказов],MATCH(1,(Таблица1[Дата]=Лист1!A147)*(Таблица1[Территория]=Лист1!C147),0))</f>
        <v>20911</v>
      </c>
      <c r="J147" s="26" cm="1">
        <f t="array" ref="J147">INDEX(Таблица1[Количество клиентов],MATCH(1,(Таблица1[Дата]=Лист1!A147)*(Таблица1[Территория]=Лист1!C147),0))</f>
        <v>19358</v>
      </c>
    </row>
    <row r="148" spans="1:10" x14ac:dyDescent="0.3">
      <c r="A148" s="13">
        <v>43971</v>
      </c>
      <c r="B148" s="35">
        <f t="shared" si="2"/>
        <v>21</v>
      </c>
      <c r="C148" s="14" t="s">
        <v>15</v>
      </c>
      <c r="D148" s="25">
        <v>388668</v>
      </c>
      <c r="E148" s="28">
        <v>39639309</v>
      </c>
      <c r="F148" s="28">
        <v>28736966.634</v>
      </c>
      <c r="G148" s="29">
        <v>997757.75384615385</v>
      </c>
      <c r="H148" s="25" cm="1">
        <f t="array" ref="H148">INDEX(Таблица1[Количество складов],MATCH(1,(Таблица1[Дата]=Лист1!A148)*(Таблица1[Территория]=Лист1!C148),0))</f>
        <v>125</v>
      </c>
      <c r="I148" s="25" cm="1">
        <f t="array" ref="I148">INDEX(Таблица1[Количество заказов],MATCH(1,(Таблица1[Дата]=Лист1!A148)*(Таблица1[Территория]=Лист1!C148),0))</f>
        <v>21674</v>
      </c>
      <c r="J148" s="25" cm="1">
        <f t="array" ref="J148">INDEX(Таблица1[Количество клиентов],MATCH(1,(Таблица1[Дата]=Лист1!A148)*(Таблица1[Территория]=Лист1!C148),0))</f>
        <v>20155</v>
      </c>
    </row>
    <row r="149" spans="1:10" x14ac:dyDescent="0.3">
      <c r="A149" s="15">
        <v>43956</v>
      </c>
      <c r="B149" s="36">
        <f t="shared" si="2"/>
        <v>19</v>
      </c>
      <c r="C149" s="16" t="s">
        <v>15</v>
      </c>
      <c r="D149" s="26">
        <v>333792</v>
      </c>
      <c r="E149" s="30">
        <v>35671734</v>
      </c>
      <c r="F149" s="30">
        <v>25644478.342</v>
      </c>
      <c r="G149" s="31">
        <v>919576.96055384621</v>
      </c>
      <c r="H149" s="26" cm="1">
        <f t="array" ref="H149">INDEX(Таблица1[Количество складов],MATCH(1,(Таблица1[Дата]=Лист1!A149)*(Таблица1[Территория]=Лист1!C149),0))</f>
        <v>125</v>
      </c>
      <c r="I149" s="26" cm="1">
        <f t="array" ref="I149">INDEX(Таблица1[Количество заказов],MATCH(1,(Таблица1[Дата]=Лист1!A149)*(Таблица1[Территория]=Лист1!C149),0))</f>
        <v>18944</v>
      </c>
      <c r="J149" s="26" cm="1">
        <f t="array" ref="J149">INDEX(Таблица1[Количество клиентов],MATCH(1,(Таблица1[Дата]=Лист1!A149)*(Таблица1[Территория]=Лист1!C149),0))</f>
        <v>17541</v>
      </c>
    </row>
    <row r="150" spans="1:10" x14ac:dyDescent="0.3">
      <c r="A150" s="13">
        <v>43949</v>
      </c>
      <c r="B150" s="35">
        <f t="shared" si="2"/>
        <v>18</v>
      </c>
      <c r="C150" s="14" t="s">
        <v>15</v>
      </c>
      <c r="D150" s="25">
        <v>376060.5</v>
      </c>
      <c r="E150" s="28">
        <v>39918028.5</v>
      </c>
      <c r="F150" s="28">
        <v>29154014.884</v>
      </c>
      <c r="G150" s="29">
        <v>611904.23352307687</v>
      </c>
      <c r="H150" s="25" cm="1">
        <f t="array" ref="H150">INDEX(Таблица1[Количество складов],MATCH(1,(Таблица1[Дата]=Лист1!A150)*(Таблица1[Территория]=Лист1!C150),0))</f>
        <v>125</v>
      </c>
      <c r="I150" s="25" cm="1">
        <f t="array" ref="I150">INDEX(Таблица1[Количество заказов],MATCH(1,(Таблица1[Дата]=Лист1!A150)*(Таблица1[Территория]=Лист1!C150),0))</f>
        <v>20914</v>
      </c>
      <c r="J150" s="25" cm="1">
        <f t="array" ref="J150">INDEX(Таблица1[Количество клиентов],MATCH(1,(Таблица1[Дата]=Лист1!A150)*(Таблица1[Территория]=Лист1!C150),0))</f>
        <v>19479</v>
      </c>
    </row>
    <row r="151" spans="1:10" x14ac:dyDescent="0.3">
      <c r="A151" s="15">
        <v>43964</v>
      </c>
      <c r="B151" s="36">
        <f t="shared" si="2"/>
        <v>20</v>
      </c>
      <c r="C151" s="16" t="s">
        <v>15</v>
      </c>
      <c r="D151" s="26">
        <v>350068.5</v>
      </c>
      <c r="E151" s="30">
        <v>37197115.5</v>
      </c>
      <c r="F151" s="30">
        <v>26793668.158999998</v>
      </c>
      <c r="G151" s="31">
        <v>582815.36153846153</v>
      </c>
      <c r="H151" s="26" cm="1">
        <f t="array" ref="H151">INDEX(Таблица1[Количество складов],MATCH(1,(Таблица1[Дата]=Лист1!A151)*(Таблица1[Территория]=Лист1!C151),0))</f>
        <v>125</v>
      </c>
      <c r="I151" s="26" cm="1">
        <f t="array" ref="I151">INDEX(Таблица1[Количество заказов],MATCH(1,(Таблица1[Дата]=Лист1!A151)*(Таблица1[Территория]=Лист1!C151),0))</f>
        <v>19965</v>
      </c>
      <c r="J151" s="26" cm="1">
        <f t="array" ref="J151">INDEX(Таблица1[Количество клиентов],MATCH(1,(Таблица1[Дата]=Лист1!A151)*(Таблица1[Территория]=Лист1!C151),0))</f>
        <v>18573</v>
      </c>
    </row>
    <row r="152" spans="1:10" x14ac:dyDescent="0.3">
      <c r="A152" s="13">
        <v>43982</v>
      </c>
      <c r="B152" s="35">
        <f t="shared" si="2"/>
        <v>22</v>
      </c>
      <c r="C152" s="14" t="s">
        <v>16</v>
      </c>
      <c r="D152" s="25">
        <v>294337.5</v>
      </c>
      <c r="E152" s="28">
        <v>29327766</v>
      </c>
      <c r="F152" s="28">
        <v>22491044.692999996</v>
      </c>
      <c r="G152" s="29">
        <v>283716.73846153845</v>
      </c>
      <c r="H152" s="25" cm="1">
        <f t="array" ref="H152">INDEX(Таблица1[Количество складов],MATCH(1,(Таблица1[Дата]=Лист1!A152)*(Таблица1[Территория]=Лист1!C152),0))</f>
        <v>129</v>
      </c>
      <c r="I152" s="25" cm="1">
        <f t="array" ref="I152">INDEX(Таблица1[Количество заказов],MATCH(1,(Таблица1[Дата]=Лист1!A152)*(Таблица1[Территория]=Лист1!C152),0))</f>
        <v>17235</v>
      </c>
      <c r="J152" s="25" cm="1">
        <f t="array" ref="J152">INDEX(Таблица1[Количество клиентов],MATCH(1,(Таблица1[Дата]=Лист1!A152)*(Таблица1[Территория]=Лист1!C152),0))</f>
        <v>16052</v>
      </c>
    </row>
    <row r="153" spans="1:10" x14ac:dyDescent="0.3">
      <c r="A153" s="15">
        <v>43954</v>
      </c>
      <c r="B153" s="36">
        <f t="shared" si="2"/>
        <v>18</v>
      </c>
      <c r="C153" s="16" t="s">
        <v>15</v>
      </c>
      <c r="D153" s="26">
        <v>342666</v>
      </c>
      <c r="E153" s="30">
        <v>36631999.5</v>
      </c>
      <c r="F153" s="30">
        <v>26408496.047999997</v>
      </c>
      <c r="G153" s="31">
        <v>820373.56815384608</v>
      </c>
      <c r="H153" s="26" cm="1">
        <f t="array" ref="H153">INDEX(Таблица1[Количество складов],MATCH(1,(Таблица1[Дата]=Лист1!A153)*(Таблица1[Территория]=Лист1!C153),0))</f>
        <v>125</v>
      </c>
      <c r="I153" s="26" cm="1">
        <f t="array" ref="I153">INDEX(Таблица1[Количество заказов],MATCH(1,(Таблица1[Дата]=Лист1!A153)*(Таблица1[Территория]=Лист1!C153),0))</f>
        <v>18861</v>
      </c>
      <c r="J153" s="26" cm="1">
        <f t="array" ref="J153">INDEX(Таблица1[Количество клиентов],MATCH(1,(Таблица1[Дата]=Лист1!A153)*(Таблица1[Территория]=Лист1!C153),0))</f>
        <v>17420</v>
      </c>
    </row>
    <row r="154" spans="1:10" x14ac:dyDescent="0.3">
      <c r="A154" s="13">
        <v>43981</v>
      </c>
      <c r="B154" s="35">
        <f t="shared" si="2"/>
        <v>22</v>
      </c>
      <c r="C154" s="14" t="s">
        <v>16</v>
      </c>
      <c r="D154" s="25">
        <v>364882.5</v>
      </c>
      <c r="E154" s="28">
        <v>35724493.5</v>
      </c>
      <c r="F154" s="28">
        <v>27535617.434</v>
      </c>
      <c r="G154" s="29">
        <v>541116.6988461538</v>
      </c>
      <c r="H154" s="25" cm="1">
        <f t="array" ref="H154">INDEX(Таблица1[Количество складов],MATCH(1,(Таблица1[Дата]=Лист1!A154)*(Таблица1[Территория]=Лист1!C154),0))</f>
        <v>129</v>
      </c>
      <c r="I154" s="25" cm="1">
        <f t="array" ref="I154">INDEX(Таблица1[Количество заказов],MATCH(1,(Таблица1[Дата]=Лист1!A154)*(Таблица1[Территория]=Лист1!C154),0))</f>
        <v>20243</v>
      </c>
      <c r="J154" s="25" cm="1">
        <f t="array" ref="J154">INDEX(Таблица1[Количество клиентов],MATCH(1,(Таблица1[Дата]=Лист1!A154)*(Таблица1[Территория]=Лист1!C154),0))</f>
        <v>18711</v>
      </c>
    </row>
    <row r="155" spans="1:10" x14ac:dyDescent="0.3">
      <c r="A155" s="15">
        <v>43957</v>
      </c>
      <c r="B155" s="36">
        <f t="shared" si="2"/>
        <v>19</v>
      </c>
      <c r="C155" s="16" t="s">
        <v>15</v>
      </c>
      <c r="D155" s="26">
        <v>355278</v>
      </c>
      <c r="E155" s="30">
        <v>38092344</v>
      </c>
      <c r="F155" s="30">
        <v>27467616.702999998</v>
      </c>
      <c r="G155" s="31">
        <v>942702.9</v>
      </c>
      <c r="H155" s="26" cm="1">
        <f t="array" ref="H155">INDEX(Таблица1[Количество складов],MATCH(1,(Таблица1[Дата]=Лист1!A155)*(Таблица1[Территория]=Лист1!C155),0))</f>
        <v>125</v>
      </c>
      <c r="I155" s="26" cm="1">
        <f t="array" ref="I155">INDEX(Таблица1[Количество заказов],MATCH(1,(Таблица1[Дата]=Лист1!A155)*(Таблица1[Территория]=Лист1!C155),0))</f>
        <v>20218</v>
      </c>
      <c r="J155" s="26" cm="1">
        <f t="array" ref="J155">INDEX(Таблица1[Количество клиентов],MATCH(1,(Таблица1[Дата]=Лист1!A155)*(Таблица1[Территория]=Лист1!C155),0))</f>
        <v>18647</v>
      </c>
    </row>
    <row r="156" spans="1:10" x14ac:dyDescent="0.3">
      <c r="A156" s="13">
        <v>43974</v>
      </c>
      <c r="B156" s="35">
        <f t="shared" si="2"/>
        <v>21</v>
      </c>
      <c r="C156" s="14" t="s">
        <v>15</v>
      </c>
      <c r="D156" s="25">
        <v>456885</v>
      </c>
      <c r="E156" s="28">
        <v>46408080</v>
      </c>
      <c r="F156" s="28">
        <v>34793888.932999998</v>
      </c>
      <c r="G156" s="29">
        <v>595793.09065384604</v>
      </c>
      <c r="H156" s="25" cm="1">
        <f t="array" ref="H156">INDEX(Таблица1[Количество складов],MATCH(1,(Таблица1[Дата]=Лист1!A156)*(Таблица1[Территория]=Лист1!C156),0))</f>
        <v>125</v>
      </c>
      <c r="I156" s="25" cm="1">
        <f t="array" ref="I156">INDEX(Таблица1[Количество заказов],MATCH(1,(Таблица1[Дата]=Лист1!A156)*(Таблица1[Территория]=Лист1!C156),0))</f>
        <v>24574</v>
      </c>
      <c r="J156" s="25" cm="1">
        <f t="array" ref="J156">INDEX(Таблица1[Количество клиентов],MATCH(1,(Таблица1[Дата]=Лист1!A156)*(Таблица1[Территория]=Лист1!C156),0))</f>
        <v>22609</v>
      </c>
    </row>
    <row r="157" spans="1:10" x14ac:dyDescent="0.3">
      <c r="A157" s="15">
        <v>43979</v>
      </c>
      <c r="B157" s="36">
        <f t="shared" si="2"/>
        <v>22</v>
      </c>
      <c r="C157" s="16" t="s">
        <v>16</v>
      </c>
      <c r="D157" s="26">
        <v>278491.5</v>
      </c>
      <c r="E157" s="30">
        <v>28151004.75</v>
      </c>
      <c r="F157" s="30">
        <v>20806418.796</v>
      </c>
      <c r="G157" s="31">
        <v>591565.35384615383</v>
      </c>
      <c r="H157" s="26" cm="1">
        <f t="array" ref="H157">INDEX(Таблица1[Количество складов],MATCH(1,(Таблица1[Дата]=Лист1!A157)*(Таблица1[Территория]=Лист1!C157),0))</f>
        <v>129</v>
      </c>
      <c r="I157" s="26" cm="1">
        <f t="array" ref="I157">INDEX(Таблица1[Количество заказов],MATCH(1,(Таблица1[Дата]=Лист1!A157)*(Таблица1[Территория]=Лист1!C157),0))</f>
        <v>16453</v>
      </c>
      <c r="J157" s="26" cm="1">
        <f t="array" ref="J157">INDEX(Таблица1[Количество клиентов],MATCH(1,(Таблица1[Дата]=Лист1!A157)*(Таблица1[Территория]=Лист1!C157),0))</f>
        <v>15289</v>
      </c>
    </row>
    <row r="158" spans="1:10" x14ac:dyDescent="0.3">
      <c r="A158" s="13">
        <v>43976</v>
      </c>
      <c r="B158" s="35">
        <f t="shared" si="2"/>
        <v>22</v>
      </c>
      <c r="C158" s="14" t="s">
        <v>15</v>
      </c>
      <c r="D158" s="25">
        <v>349734</v>
      </c>
      <c r="E158" s="28">
        <v>36883428</v>
      </c>
      <c r="F158" s="28">
        <v>26438356.802999999</v>
      </c>
      <c r="G158" s="29">
        <v>742420.26923076913</v>
      </c>
      <c r="H158" s="25" cm="1">
        <f t="array" ref="H158">INDEX(Таблица1[Количество складов],MATCH(1,(Таблица1[Дата]=Лист1!A158)*(Таблица1[Территория]=Лист1!C158),0))</f>
        <v>124</v>
      </c>
      <c r="I158" s="25" cm="1">
        <f t="array" ref="I158">INDEX(Таблица1[Количество заказов],MATCH(1,(Таблица1[Дата]=Лист1!A158)*(Таблица1[Территория]=Лист1!C158),0))</f>
        <v>20358</v>
      </c>
      <c r="J158" s="25" cm="1">
        <f t="array" ref="J158">INDEX(Таблица1[Количество клиентов],MATCH(1,(Таблица1[Дата]=Лист1!A158)*(Таблица1[Территория]=Лист1!C158),0))</f>
        <v>18890</v>
      </c>
    </row>
    <row r="159" spans="1:10" x14ac:dyDescent="0.3">
      <c r="A159" s="15">
        <v>43951</v>
      </c>
      <c r="B159" s="36">
        <f t="shared" si="2"/>
        <v>18</v>
      </c>
      <c r="C159" s="16" t="s">
        <v>15</v>
      </c>
      <c r="D159" s="26">
        <v>401580</v>
      </c>
      <c r="E159" s="30">
        <v>43028734.5</v>
      </c>
      <c r="F159" s="30">
        <v>31156525.939999998</v>
      </c>
      <c r="G159" s="31">
        <v>343786.08461538458</v>
      </c>
      <c r="H159" s="26" cm="1">
        <f t="array" ref="H159">INDEX(Таблица1[Количество складов],MATCH(1,(Таблица1[Дата]=Лист1!A159)*(Таблица1[Территория]=Лист1!C159),0))</f>
        <v>125</v>
      </c>
      <c r="I159" s="26" cm="1">
        <f t="array" ref="I159">INDEX(Таблица1[Количество заказов],MATCH(1,(Таблица1[Дата]=Лист1!A159)*(Таблица1[Территория]=Лист1!C159),0))</f>
        <v>22368</v>
      </c>
      <c r="J159" s="26" cm="1">
        <f t="array" ref="J159">INDEX(Таблица1[Количество клиентов],MATCH(1,(Таблица1[Дата]=Лист1!A159)*(Таблица1[Территория]=Лист1!C159),0))</f>
        <v>20625</v>
      </c>
    </row>
    <row r="160" spans="1:10" x14ac:dyDescent="0.3">
      <c r="A160" s="13">
        <v>43961</v>
      </c>
      <c r="B160" s="35">
        <f t="shared" si="2"/>
        <v>19</v>
      </c>
      <c r="C160" s="14" t="s">
        <v>15</v>
      </c>
      <c r="D160" s="25">
        <v>368649</v>
      </c>
      <c r="E160" s="28">
        <v>39010875</v>
      </c>
      <c r="F160" s="28">
        <v>28090230.958999999</v>
      </c>
      <c r="G160" s="29">
        <v>532663.16153846146</v>
      </c>
      <c r="H160" s="25" cm="1">
        <f t="array" ref="H160">INDEX(Таблица1[Количество складов],MATCH(1,(Таблица1[Дата]=Лист1!A160)*(Таблица1[Территория]=Лист1!C160),0))</f>
        <v>125</v>
      </c>
      <c r="I160" s="25" cm="1">
        <f t="array" ref="I160">INDEX(Таблица1[Количество заказов],MATCH(1,(Таблица1[Дата]=Лист1!A160)*(Таблица1[Территория]=Лист1!C160),0))</f>
        <v>20368</v>
      </c>
      <c r="J160" s="25" cm="1">
        <f t="array" ref="J160">INDEX(Таблица1[Количество клиентов],MATCH(1,(Таблица1[Дата]=Лист1!A160)*(Таблица1[Территория]=Лист1!C160),0))</f>
        <v>18884</v>
      </c>
    </row>
    <row r="161" spans="1:10" x14ac:dyDescent="0.3">
      <c r="A161" s="15">
        <v>43959</v>
      </c>
      <c r="B161" s="36">
        <f t="shared" si="2"/>
        <v>19</v>
      </c>
      <c r="C161" s="16" t="s">
        <v>15</v>
      </c>
      <c r="D161" s="26">
        <v>463530</v>
      </c>
      <c r="E161" s="30">
        <v>49123180.5</v>
      </c>
      <c r="F161" s="30">
        <v>36012087.989</v>
      </c>
      <c r="G161" s="31">
        <v>700442.11537692312</v>
      </c>
      <c r="H161" s="26" cm="1">
        <f t="array" ref="H161">INDEX(Таблица1[Количество складов],MATCH(1,(Таблица1[Дата]=Лист1!A161)*(Таблица1[Территория]=Лист1!C161),0))</f>
        <v>125</v>
      </c>
      <c r="I161" s="26" cm="1">
        <f t="array" ref="I161">INDEX(Таблица1[Количество заказов],MATCH(1,(Таблица1[Дата]=Лист1!A161)*(Таблица1[Территория]=Лист1!C161),0))</f>
        <v>24620</v>
      </c>
      <c r="J161" s="26" cm="1">
        <f t="array" ref="J161">INDEX(Таблица1[Количество клиентов],MATCH(1,(Таблица1[Дата]=Лист1!A161)*(Таблица1[Территория]=Лист1!C161),0))</f>
        <v>22641</v>
      </c>
    </row>
    <row r="162" spans="1:10" x14ac:dyDescent="0.3">
      <c r="A162" s="13">
        <v>43958</v>
      </c>
      <c r="B162" s="35">
        <f t="shared" si="2"/>
        <v>19</v>
      </c>
      <c r="C162" s="14" t="s">
        <v>15</v>
      </c>
      <c r="D162" s="25">
        <v>319110</v>
      </c>
      <c r="E162" s="28">
        <v>33763989</v>
      </c>
      <c r="F162" s="28">
        <v>24610757.489</v>
      </c>
      <c r="G162" s="29">
        <v>1101833.4472307691</v>
      </c>
      <c r="H162" s="25" cm="1">
        <f t="array" ref="H162">INDEX(Таблица1[Количество складов],MATCH(1,(Таблица1[Дата]=Лист1!A162)*(Таблица1[Территория]=Лист1!C162),0))</f>
        <v>125</v>
      </c>
      <c r="I162" s="25" cm="1">
        <f t="array" ref="I162">INDEX(Таблица1[Количество заказов],MATCH(1,(Таблица1[Дата]=Лист1!A162)*(Таблица1[Территория]=Лист1!C162),0))</f>
        <v>18014</v>
      </c>
      <c r="J162" s="25" cm="1">
        <f t="array" ref="J162">INDEX(Таблица1[Количество клиентов],MATCH(1,(Таблица1[Дата]=Лист1!A162)*(Таблица1[Территория]=Лист1!C162),0))</f>
        <v>16675</v>
      </c>
    </row>
    <row r="163" spans="1:10" x14ac:dyDescent="0.3">
      <c r="A163" s="15">
        <v>43975</v>
      </c>
      <c r="B163" s="36">
        <f t="shared" si="2"/>
        <v>21</v>
      </c>
      <c r="C163" s="16" t="s">
        <v>15</v>
      </c>
      <c r="D163" s="26">
        <v>375744</v>
      </c>
      <c r="E163" s="30">
        <v>38191381.5</v>
      </c>
      <c r="F163" s="30">
        <v>28822960.470999997</v>
      </c>
      <c r="G163" s="31">
        <v>574198.11538461538</v>
      </c>
      <c r="H163" s="26" cm="1">
        <f t="array" ref="H163">INDEX(Таблица1[Количество складов],MATCH(1,(Таблица1[Дата]=Лист1!A163)*(Таблица1[Территория]=Лист1!C163),0))</f>
        <v>125</v>
      </c>
      <c r="I163" s="26" cm="1">
        <f t="array" ref="I163">INDEX(Таблица1[Количество заказов],MATCH(1,(Таблица1[Дата]=Лист1!A163)*(Таблица1[Территория]=Лист1!C163),0))</f>
        <v>21004</v>
      </c>
      <c r="J163" s="26" cm="1">
        <f t="array" ref="J163">INDEX(Таблица1[Количество клиентов],MATCH(1,(Таблица1[Дата]=Лист1!A163)*(Таблица1[Территория]=Лист1!C163),0))</f>
        <v>19556</v>
      </c>
    </row>
    <row r="164" spans="1:10" x14ac:dyDescent="0.3">
      <c r="A164" s="13">
        <v>43967</v>
      </c>
      <c r="B164" s="35">
        <f t="shared" si="2"/>
        <v>20</v>
      </c>
      <c r="C164" s="14" t="s">
        <v>3</v>
      </c>
      <c r="D164" s="25">
        <v>81331.5</v>
      </c>
      <c r="E164" s="28">
        <v>6652179</v>
      </c>
      <c r="F164" s="28">
        <v>5305378.9040000001</v>
      </c>
      <c r="G164" s="29">
        <v>156413.8362153846</v>
      </c>
      <c r="H164" s="25" cm="1">
        <f t="array" ref="H164">INDEX(Таблица1[Количество складов],MATCH(1,(Таблица1[Дата]=Лист1!A164)*(Таблица1[Территория]=Лист1!C164),0))</f>
        <v>36</v>
      </c>
      <c r="I164" s="25" cm="1">
        <f t="array" ref="I164">INDEX(Таблица1[Количество заказов],MATCH(1,(Таблица1[Дата]=Лист1!A164)*(Таблица1[Территория]=Лист1!C164),0))</f>
        <v>5286</v>
      </c>
      <c r="J164" s="25" cm="1">
        <f t="array" ref="J164">INDEX(Таблица1[Количество клиентов],MATCH(1,(Таблица1[Дата]=Лист1!A164)*(Таблица1[Территория]=Лист1!C164),0))</f>
        <v>4867</v>
      </c>
    </row>
    <row r="165" spans="1:10" x14ac:dyDescent="0.3">
      <c r="A165" s="15">
        <v>43970</v>
      </c>
      <c r="B165" s="36">
        <f t="shared" si="2"/>
        <v>21</v>
      </c>
      <c r="C165" s="16" t="s">
        <v>3</v>
      </c>
      <c r="D165" s="26">
        <v>75796.5</v>
      </c>
      <c r="E165" s="30">
        <v>6173463</v>
      </c>
      <c r="F165" s="30">
        <v>4915101.7949999999</v>
      </c>
      <c r="G165" s="31">
        <v>253686.7171923077</v>
      </c>
      <c r="H165" s="26" cm="1">
        <f t="array" ref="H165">INDEX(Таблица1[Количество складов],MATCH(1,(Таблица1[Дата]=Лист1!A165)*(Таблица1[Территория]=Лист1!C165),0))</f>
        <v>36</v>
      </c>
      <c r="I165" s="26" cm="1">
        <f t="array" ref="I165">INDEX(Таблица1[Количество заказов],MATCH(1,(Таблица1[Дата]=Лист1!A165)*(Таблица1[Территория]=Лист1!C165),0))</f>
        <v>5094</v>
      </c>
      <c r="J165" s="26" cm="1">
        <f t="array" ref="J165">INDEX(Таблица1[Количество клиентов],MATCH(1,(Таблица1[Дата]=Лист1!A165)*(Таблица1[Территория]=Лист1!C165),0))</f>
        <v>4716</v>
      </c>
    </row>
    <row r="166" spans="1:10" x14ac:dyDescent="0.3">
      <c r="A166" s="13">
        <v>43968</v>
      </c>
      <c r="B166" s="35">
        <f t="shared" si="2"/>
        <v>20</v>
      </c>
      <c r="C166" s="14" t="s">
        <v>3</v>
      </c>
      <c r="D166" s="25">
        <v>72861</v>
      </c>
      <c r="E166" s="28">
        <v>5952802.5</v>
      </c>
      <c r="F166" s="28">
        <v>4711294.2009999994</v>
      </c>
      <c r="G166" s="29">
        <v>125880.90000000001</v>
      </c>
      <c r="H166" s="25" cm="1">
        <f t="array" ref="H166">INDEX(Таблица1[Количество складов],MATCH(1,(Таблица1[Дата]=Лист1!A166)*(Таблица1[Территория]=Лист1!C166),0))</f>
        <v>36</v>
      </c>
      <c r="I166" s="25" cm="1">
        <f t="array" ref="I166">INDEX(Таблица1[Количество заказов],MATCH(1,(Таблица1[Дата]=Лист1!A166)*(Таблица1[Территория]=Лист1!C166),0))</f>
        <v>4918</v>
      </c>
      <c r="J166" s="25" cm="1">
        <f t="array" ref="J166">INDEX(Таблица1[Количество клиентов],MATCH(1,(Таблица1[Дата]=Лист1!A166)*(Таблица1[Территория]=Лист1!C166),0))</f>
        <v>4554</v>
      </c>
    </row>
    <row r="167" spans="1:10" x14ac:dyDescent="0.3">
      <c r="A167" s="15">
        <v>43960</v>
      </c>
      <c r="B167" s="36">
        <f t="shared" si="2"/>
        <v>19</v>
      </c>
      <c r="C167" s="16" t="s">
        <v>3</v>
      </c>
      <c r="D167" s="26">
        <v>83373</v>
      </c>
      <c r="E167" s="30">
        <v>7253427</v>
      </c>
      <c r="F167" s="30">
        <v>5531366.3810000001</v>
      </c>
      <c r="G167" s="31">
        <v>221053.87967692307</v>
      </c>
      <c r="H167" s="26" cm="1">
        <f t="array" ref="H167">INDEX(Таблица1[Количество складов],MATCH(1,(Таблица1[Дата]=Лист1!A167)*(Таблица1[Территория]=Лист1!C167),0))</f>
        <v>36</v>
      </c>
      <c r="I167" s="26" cm="1">
        <f t="array" ref="I167">INDEX(Таблица1[Количество заказов],MATCH(1,(Таблица1[Дата]=Лист1!A167)*(Таблица1[Территория]=Лист1!C167),0))</f>
        <v>5413</v>
      </c>
      <c r="J167" s="26" cm="1">
        <f t="array" ref="J167">INDEX(Таблица1[Количество клиентов],MATCH(1,(Таблица1[Дата]=Лист1!A167)*(Таблица1[Территория]=Лист1!C167),0))</f>
        <v>4959</v>
      </c>
    </row>
    <row r="168" spans="1:10" x14ac:dyDescent="0.3">
      <c r="A168" s="13">
        <v>43955</v>
      </c>
      <c r="B168" s="35">
        <f t="shared" si="2"/>
        <v>19</v>
      </c>
      <c r="C168" s="14" t="s">
        <v>3</v>
      </c>
      <c r="D168" s="25">
        <v>64108.5</v>
      </c>
      <c r="E168" s="28">
        <v>5561452.5</v>
      </c>
      <c r="F168" s="28">
        <v>4257859.3720000004</v>
      </c>
      <c r="G168" s="29">
        <v>337872.83273076924</v>
      </c>
      <c r="H168" s="25" cm="1">
        <f t="array" ref="H168">INDEX(Таблица1[Количество складов],MATCH(1,(Таблица1[Дата]=Лист1!A168)*(Таблица1[Территория]=Лист1!C168),0))</f>
        <v>36</v>
      </c>
      <c r="I168" s="25" cm="1">
        <f t="array" ref="I168">INDEX(Таблица1[Количество заказов],MATCH(1,(Таблица1[Дата]=Лист1!A168)*(Таблица1[Территория]=Лист1!C168),0))</f>
        <v>4508</v>
      </c>
      <c r="J168" s="25" cm="1">
        <f t="array" ref="J168">INDEX(Таблица1[Количество клиентов],MATCH(1,(Таблица1[Дата]=Лист1!A168)*(Таблица1[Территория]=Лист1!C168),0))</f>
        <v>4149</v>
      </c>
    </row>
    <row r="169" spans="1:10" x14ac:dyDescent="0.3">
      <c r="A169" s="15">
        <v>43950</v>
      </c>
      <c r="B169" s="36">
        <f t="shared" si="2"/>
        <v>18</v>
      </c>
      <c r="C169" s="16" t="s">
        <v>3</v>
      </c>
      <c r="D169" s="26">
        <v>74707.5</v>
      </c>
      <c r="E169" s="30">
        <v>6454458</v>
      </c>
      <c r="F169" s="30">
        <v>4968152.9469999997</v>
      </c>
      <c r="G169" s="31">
        <v>118941.29398461539</v>
      </c>
      <c r="H169" s="26" cm="1">
        <f t="array" ref="H169">INDEX(Таблица1[Количество складов],MATCH(1,(Таблица1[Дата]=Лист1!A169)*(Таблица1[Территория]=Лист1!C169),0))</f>
        <v>36</v>
      </c>
      <c r="I169" s="26" cm="1">
        <f t="array" ref="I169">INDEX(Таблица1[Количество заказов],MATCH(1,(Таблица1[Дата]=Лист1!A169)*(Таблица1[Территория]=Лист1!C169),0))</f>
        <v>4937</v>
      </c>
      <c r="J169" s="26" cm="1">
        <f t="array" ref="J169">INDEX(Таблица1[Количество клиентов],MATCH(1,(Таблица1[Дата]=Лист1!A169)*(Таблица1[Территория]=Лист1!C169),0))</f>
        <v>4561</v>
      </c>
    </row>
    <row r="170" spans="1:10" x14ac:dyDescent="0.3">
      <c r="A170" s="13">
        <v>43953</v>
      </c>
      <c r="B170" s="35">
        <f t="shared" si="2"/>
        <v>18</v>
      </c>
      <c r="C170" s="14" t="s">
        <v>3</v>
      </c>
      <c r="D170" s="25">
        <v>46216.5</v>
      </c>
      <c r="E170" s="28">
        <v>4118251.5</v>
      </c>
      <c r="F170" s="28">
        <v>3133704.9279999998</v>
      </c>
      <c r="G170" s="29">
        <v>179531.89196153847</v>
      </c>
      <c r="H170" s="25" cm="1">
        <f t="array" ref="H170">INDEX(Таблица1[Количество складов],MATCH(1,(Таблица1[Дата]=Лист1!A170)*(Таблица1[Территория]=Лист1!C170),0))</f>
        <v>36</v>
      </c>
      <c r="I170" s="25" cm="1">
        <f t="array" ref="I170">INDEX(Таблица1[Количество заказов],MATCH(1,(Таблица1[Дата]=Лист1!A170)*(Таблица1[Территория]=Лист1!C170),0))</f>
        <v>3442</v>
      </c>
      <c r="J170" s="25" cm="1">
        <f t="array" ref="J170">INDEX(Таблица1[Количество клиентов],MATCH(1,(Таблица1[Дата]=Лист1!A170)*(Таблица1[Территория]=Лист1!C170),0))</f>
        <v>3147</v>
      </c>
    </row>
    <row r="171" spans="1:10" x14ac:dyDescent="0.3">
      <c r="A171" s="15">
        <v>43977</v>
      </c>
      <c r="B171" s="36">
        <f t="shared" si="2"/>
        <v>22</v>
      </c>
      <c r="C171" s="16" t="s">
        <v>3</v>
      </c>
      <c r="D171" s="26">
        <v>67726.5</v>
      </c>
      <c r="E171" s="30">
        <v>5864989.5</v>
      </c>
      <c r="F171" s="30">
        <v>4506085.4840000002</v>
      </c>
      <c r="G171" s="31">
        <v>167003.69436153845</v>
      </c>
      <c r="H171" s="26" cm="1">
        <f t="array" ref="H171">INDEX(Таблица1[Количество складов],MATCH(1,(Таблица1[Дата]=Лист1!A171)*(Таблица1[Территория]=Лист1!C171),0))</f>
        <v>36</v>
      </c>
      <c r="I171" s="26" cm="1">
        <f t="array" ref="I171">INDEX(Таблица1[Количество заказов],MATCH(1,(Таблица1[Дата]=Лист1!A171)*(Таблица1[Территория]=Лист1!C171),0))</f>
        <v>4770</v>
      </c>
      <c r="J171" s="26" cm="1">
        <f t="array" ref="J171">INDEX(Таблица1[Количество клиентов],MATCH(1,(Таблица1[Дата]=Лист1!A171)*(Таблица1[Территория]=Лист1!C171),0))</f>
        <v>4424</v>
      </c>
    </row>
    <row r="172" spans="1:10" x14ac:dyDescent="0.3">
      <c r="A172" s="13">
        <v>43952</v>
      </c>
      <c r="B172" s="35">
        <f t="shared" si="2"/>
        <v>18</v>
      </c>
      <c r="C172" s="14" t="s">
        <v>3</v>
      </c>
      <c r="D172" s="25">
        <v>82228.5</v>
      </c>
      <c r="E172" s="28">
        <v>7032225</v>
      </c>
      <c r="F172" s="28">
        <v>5546127.1919999998</v>
      </c>
      <c r="G172" s="29">
        <v>196859.98644615384</v>
      </c>
      <c r="H172" s="25" cm="1">
        <f t="array" ref="H172">INDEX(Таблица1[Количество складов],MATCH(1,(Таблица1[Дата]=Лист1!A172)*(Таблица1[Территория]=Лист1!C172),0))</f>
        <v>36</v>
      </c>
      <c r="I172" s="25" cm="1">
        <f t="array" ref="I172">INDEX(Таблица1[Количество заказов],MATCH(1,(Таблица1[Дата]=Лист1!A172)*(Таблица1[Территория]=Лист1!C172),0))</f>
        <v>5457</v>
      </c>
      <c r="J172" s="25" cm="1">
        <f t="array" ref="J172">INDEX(Таблица1[Количество клиентов],MATCH(1,(Таблица1[Дата]=Лист1!A172)*(Таблица1[Территория]=Лист1!C172),0))</f>
        <v>4916</v>
      </c>
    </row>
    <row r="173" spans="1:10" x14ac:dyDescent="0.3">
      <c r="A173" s="15">
        <v>43963</v>
      </c>
      <c r="B173" s="36">
        <f t="shared" si="2"/>
        <v>20</v>
      </c>
      <c r="C173" s="16" t="s">
        <v>3</v>
      </c>
      <c r="D173" s="26">
        <v>64390.5</v>
      </c>
      <c r="E173" s="30">
        <v>5523145.5</v>
      </c>
      <c r="F173" s="30">
        <v>4230689.2069999995</v>
      </c>
      <c r="G173" s="31">
        <v>183154.05167692306</v>
      </c>
      <c r="H173" s="26" cm="1">
        <f t="array" ref="H173">INDEX(Таблица1[Количество складов],MATCH(1,(Таблица1[Дата]=Лист1!A173)*(Таблица1[Территория]=Лист1!C173),0))</f>
        <v>36</v>
      </c>
      <c r="I173" s="26" cm="1">
        <f t="array" ref="I173">INDEX(Таблица1[Количество заказов],MATCH(1,(Таблица1[Дата]=Лист1!A173)*(Таблица1[Территория]=Лист1!C173),0))</f>
        <v>4418</v>
      </c>
      <c r="J173" s="26" cm="1">
        <f t="array" ref="J173">INDEX(Таблица1[Количество клиентов],MATCH(1,(Таблица1[Дата]=Лист1!A173)*(Таблица1[Территория]=Лист1!C173),0))</f>
        <v>4088</v>
      </c>
    </row>
    <row r="174" spans="1:10" x14ac:dyDescent="0.3">
      <c r="A174" s="13">
        <v>43972</v>
      </c>
      <c r="B174" s="35">
        <f t="shared" si="2"/>
        <v>21</v>
      </c>
      <c r="C174" s="14" t="s">
        <v>3</v>
      </c>
      <c r="D174" s="25">
        <v>73126.5</v>
      </c>
      <c r="E174" s="28">
        <v>5864085</v>
      </c>
      <c r="F174" s="28">
        <v>4847142.9859999996</v>
      </c>
      <c r="G174" s="29">
        <v>142998.2095</v>
      </c>
      <c r="H174" s="25" cm="1">
        <f t="array" ref="H174">INDEX(Таблица1[Количество складов],MATCH(1,(Таблица1[Дата]=Лист1!A174)*(Таблица1[Территория]=Лист1!C174),0))</f>
        <v>36</v>
      </c>
      <c r="I174" s="25" cm="1">
        <f t="array" ref="I174">INDEX(Таблица1[Количество заказов],MATCH(1,(Таблица1[Дата]=Лист1!A174)*(Таблица1[Территория]=Лист1!C174),0))</f>
        <v>4816</v>
      </c>
      <c r="J174" s="25" cm="1">
        <f t="array" ref="J174">INDEX(Таблица1[Количество клиентов],MATCH(1,(Таблица1[Дата]=Лист1!A174)*(Таблица1[Территория]=Лист1!C174),0))</f>
        <v>4452</v>
      </c>
    </row>
    <row r="175" spans="1:10" x14ac:dyDescent="0.3">
      <c r="A175" s="15">
        <v>43971</v>
      </c>
      <c r="B175" s="36">
        <f t="shared" si="2"/>
        <v>21</v>
      </c>
      <c r="C175" s="16" t="s">
        <v>3</v>
      </c>
      <c r="D175" s="26">
        <v>99631.5</v>
      </c>
      <c r="E175" s="30">
        <v>7121946</v>
      </c>
      <c r="F175" s="30">
        <v>6279205.8499999996</v>
      </c>
      <c r="G175" s="31">
        <v>279127.27602307691</v>
      </c>
      <c r="H175" s="26" cm="1">
        <f t="array" ref="H175">INDEX(Таблица1[Количество складов],MATCH(1,(Таблица1[Дата]=Лист1!A175)*(Таблица1[Территория]=Лист1!C175),0))</f>
        <v>36</v>
      </c>
      <c r="I175" s="26" cm="1">
        <f t="array" ref="I175">INDEX(Таблица1[Количество заказов],MATCH(1,(Таблица1[Дата]=Лист1!A175)*(Таблица1[Территория]=Лист1!C175),0))</f>
        <v>5914</v>
      </c>
      <c r="J175" s="26" cm="1">
        <f t="array" ref="J175">INDEX(Таблица1[Количество клиентов],MATCH(1,(Таблица1[Дата]=Лист1!A175)*(Таблица1[Территория]=Лист1!C175),0))</f>
        <v>5384</v>
      </c>
    </row>
    <row r="176" spans="1:10" x14ac:dyDescent="0.3">
      <c r="A176" s="13">
        <v>43956</v>
      </c>
      <c r="B176" s="35">
        <f t="shared" si="2"/>
        <v>19</v>
      </c>
      <c r="C176" s="14" t="s">
        <v>3</v>
      </c>
      <c r="D176" s="25">
        <v>66396</v>
      </c>
      <c r="E176" s="28">
        <v>5770539</v>
      </c>
      <c r="F176" s="28">
        <v>4433831.2509999992</v>
      </c>
      <c r="G176" s="29">
        <v>232587.42287692308</v>
      </c>
      <c r="H176" s="25" cm="1">
        <f t="array" ref="H176">INDEX(Таблица1[Количество складов],MATCH(1,(Таблица1[Дата]=Лист1!A176)*(Таблица1[Территория]=Лист1!C176),0))</f>
        <v>36</v>
      </c>
      <c r="I176" s="25" cm="1">
        <f t="array" ref="I176">INDEX(Таблица1[Количество заказов],MATCH(1,(Таблица1[Дата]=Лист1!A176)*(Таблица1[Территория]=Лист1!C176),0))</f>
        <v>4575</v>
      </c>
      <c r="J176" s="25" cm="1">
        <f t="array" ref="J176">INDEX(Таблица1[Количество клиентов],MATCH(1,(Таблица1[Дата]=Лист1!A176)*(Таблица1[Территория]=Лист1!C176),0))</f>
        <v>4206</v>
      </c>
    </row>
    <row r="177" spans="1:10" x14ac:dyDescent="0.3">
      <c r="A177" s="15">
        <v>43949</v>
      </c>
      <c r="B177" s="36">
        <f t="shared" si="2"/>
        <v>18</v>
      </c>
      <c r="C177" s="16" t="s">
        <v>3</v>
      </c>
      <c r="D177" s="26">
        <v>73147.5</v>
      </c>
      <c r="E177" s="30">
        <v>6288246</v>
      </c>
      <c r="F177" s="30">
        <v>4798265.1129999999</v>
      </c>
      <c r="G177" s="31">
        <v>123081.63515384615</v>
      </c>
      <c r="H177" s="26" cm="1">
        <f t="array" ref="H177">INDEX(Таблица1[Количество складов],MATCH(1,(Таблица1[Дата]=Лист1!A177)*(Таблица1[Территория]=Лист1!C177),0))</f>
        <v>36</v>
      </c>
      <c r="I177" s="26" cm="1">
        <f t="array" ref="I177">INDEX(Таблица1[Количество заказов],MATCH(1,(Таблица1[Дата]=Лист1!A177)*(Таблица1[Территория]=Лист1!C177),0))</f>
        <v>4923</v>
      </c>
      <c r="J177" s="26" cm="1">
        <f t="array" ref="J177">INDEX(Таблица1[Количество клиентов],MATCH(1,(Таблица1[Дата]=Лист1!A177)*(Таблица1[Территория]=Лист1!C177),0))</f>
        <v>4560</v>
      </c>
    </row>
    <row r="178" spans="1:10" x14ac:dyDescent="0.3">
      <c r="A178" s="13">
        <v>43964</v>
      </c>
      <c r="B178" s="35">
        <f t="shared" si="2"/>
        <v>20</v>
      </c>
      <c r="C178" s="14" t="s">
        <v>3</v>
      </c>
      <c r="D178" s="25">
        <v>73062</v>
      </c>
      <c r="E178" s="28">
        <v>6333828</v>
      </c>
      <c r="F178" s="28">
        <v>4890619.2620000001</v>
      </c>
      <c r="G178" s="29">
        <v>181964.68769230769</v>
      </c>
      <c r="H178" s="25" cm="1">
        <f t="array" ref="H178">INDEX(Таблица1[Количество складов],MATCH(1,(Таблица1[Дата]=Лист1!A178)*(Таблица1[Территория]=Лист1!C178),0))</f>
        <v>36</v>
      </c>
      <c r="I178" s="25" cm="1">
        <f t="array" ref="I178">INDEX(Таблица1[Количество заказов],MATCH(1,(Таблица1[Дата]=Лист1!A178)*(Таблица1[Территория]=Лист1!C178),0))</f>
        <v>4967</v>
      </c>
      <c r="J178" s="25" cm="1">
        <f t="array" ref="J178">INDEX(Таблица1[Количество клиентов],MATCH(1,(Таблица1[Дата]=Лист1!A178)*(Таблица1[Территория]=Лист1!C178),0))</f>
        <v>4583</v>
      </c>
    </row>
    <row r="179" spans="1:10" x14ac:dyDescent="0.3">
      <c r="A179" s="15">
        <v>43982</v>
      </c>
      <c r="B179" s="36">
        <f t="shared" si="2"/>
        <v>22</v>
      </c>
      <c r="C179" s="16" t="s">
        <v>15</v>
      </c>
      <c r="D179" s="26">
        <v>379663.5</v>
      </c>
      <c r="E179" s="30">
        <v>39380178</v>
      </c>
      <c r="F179" s="30">
        <v>29726473.223999996</v>
      </c>
      <c r="G179" s="31">
        <v>305744.98843076918</v>
      </c>
      <c r="H179" s="26" cm="1">
        <f t="array" ref="H179">INDEX(Таблица1[Количество складов],MATCH(1,(Таблица1[Дата]=Лист1!A179)*(Таблица1[Территория]=Лист1!C179),0))</f>
        <v>124</v>
      </c>
      <c r="I179" s="26" cm="1">
        <f t="array" ref="I179">INDEX(Таблица1[Количество заказов],MATCH(1,(Таблица1[Дата]=Лист1!A179)*(Таблица1[Территория]=Лист1!C179),0))</f>
        <v>21392</v>
      </c>
      <c r="J179" s="26" cm="1">
        <f t="array" ref="J179">INDEX(Таблица1[Количество клиентов],MATCH(1,(Таблица1[Дата]=Лист1!A179)*(Таблица1[Территория]=Лист1!C179),0))</f>
        <v>19869</v>
      </c>
    </row>
    <row r="180" spans="1:10" x14ac:dyDescent="0.3">
      <c r="A180" s="13">
        <v>43954</v>
      </c>
      <c r="B180" s="35">
        <f t="shared" si="2"/>
        <v>18</v>
      </c>
      <c r="C180" s="14" t="s">
        <v>3</v>
      </c>
      <c r="D180" s="25">
        <v>70581</v>
      </c>
      <c r="E180" s="28">
        <v>6221320.5</v>
      </c>
      <c r="F180" s="28">
        <v>4762185.0609999998</v>
      </c>
      <c r="G180" s="29">
        <v>172821.83076923076</v>
      </c>
      <c r="H180" s="25" cm="1">
        <f t="array" ref="H180">INDEX(Таблица1[Количество складов],MATCH(1,(Таблица1[Дата]=Лист1!A180)*(Таблица1[Территория]=Лист1!C180),0))</f>
        <v>36</v>
      </c>
      <c r="I180" s="25" cm="1">
        <f t="array" ref="I180">INDEX(Таблица1[Количество заказов],MATCH(1,(Таблица1[Дата]=Лист1!A180)*(Таблица1[Территория]=Лист1!C180),0))</f>
        <v>4751</v>
      </c>
      <c r="J180" s="25" cm="1">
        <f t="array" ref="J180">INDEX(Таблица1[Количество клиентов],MATCH(1,(Таблица1[Дата]=Лист1!A180)*(Таблица1[Территория]=Лист1!C180),0))</f>
        <v>4370</v>
      </c>
    </row>
    <row r="181" spans="1:10" x14ac:dyDescent="0.3">
      <c r="A181" s="15">
        <v>43981</v>
      </c>
      <c r="B181" s="36">
        <f t="shared" si="2"/>
        <v>22</v>
      </c>
      <c r="C181" s="16" t="s">
        <v>15</v>
      </c>
      <c r="D181" s="26">
        <v>453123</v>
      </c>
      <c r="E181" s="30">
        <v>46370904</v>
      </c>
      <c r="F181" s="30">
        <v>35190775.285000004</v>
      </c>
      <c r="G181" s="31">
        <v>552625.80000000005</v>
      </c>
      <c r="H181" s="26" cm="1">
        <f t="array" ref="H181">INDEX(Таблица1[Количество складов],MATCH(1,(Таблица1[Дата]=Лист1!A181)*(Таблица1[Территория]=Лист1!C181),0))</f>
        <v>124</v>
      </c>
      <c r="I181" s="26" cm="1">
        <f t="array" ref="I181">INDEX(Таблица1[Количество заказов],MATCH(1,(Таблица1[Дата]=Лист1!A181)*(Таблица1[Территория]=Лист1!C181),0))</f>
        <v>24325</v>
      </c>
      <c r="J181" s="26" cm="1">
        <f t="array" ref="J181">INDEX(Таблица1[Количество клиентов],MATCH(1,(Таблица1[Дата]=Лист1!A181)*(Таблица1[Территория]=Лист1!C181),0))</f>
        <v>22469</v>
      </c>
    </row>
    <row r="182" spans="1:10" x14ac:dyDescent="0.3">
      <c r="A182" s="13">
        <v>43957</v>
      </c>
      <c r="B182" s="35">
        <f t="shared" si="2"/>
        <v>19</v>
      </c>
      <c r="C182" s="14" t="s">
        <v>3</v>
      </c>
      <c r="D182" s="25">
        <v>63012</v>
      </c>
      <c r="E182" s="28">
        <v>5454121.5</v>
      </c>
      <c r="F182" s="28">
        <v>4155234.554</v>
      </c>
      <c r="G182" s="29">
        <v>234787.55649230769</v>
      </c>
      <c r="H182" s="25" cm="1">
        <f t="array" ref="H182">INDEX(Таблица1[Количество складов],MATCH(1,(Таблица1[Дата]=Лист1!A182)*(Таблица1[Территория]=Лист1!C182),0))</f>
        <v>36</v>
      </c>
      <c r="I182" s="25" cm="1">
        <f t="array" ref="I182">INDEX(Таблица1[Количество заказов],MATCH(1,(Таблица1[Дата]=Лист1!A182)*(Таблица1[Территория]=Лист1!C182),0))</f>
        <v>4384</v>
      </c>
      <c r="J182" s="25" cm="1">
        <f t="array" ref="J182">INDEX(Таблица1[Количество клиентов],MATCH(1,(Таблица1[Дата]=Лист1!A182)*(Таблица1[Территория]=Лист1!C182),0))</f>
        <v>4025</v>
      </c>
    </row>
    <row r="183" spans="1:10" x14ac:dyDescent="0.3">
      <c r="A183" s="15">
        <v>43974</v>
      </c>
      <c r="B183" s="36">
        <f t="shared" si="2"/>
        <v>21</v>
      </c>
      <c r="C183" s="16" t="s">
        <v>3</v>
      </c>
      <c r="D183" s="26">
        <v>89556</v>
      </c>
      <c r="E183" s="30">
        <v>7173117</v>
      </c>
      <c r="F183" s="30">
        <v>6068194.523</v>
      </c>
      <c r="G183" s="31">
        <v>139983.69019999998</v>
      </c>
      <c r="H183" s="26" cm="1">
        <f t="array" ref="H183">INDEX(Таблица1[Количество складов],MATCH(1,(Таблица1[Дата]=Лист1!A183)*(Таблица1[Территория]=Лист1!C183),0))</f>
        <v>36</v>
      </c>
      <c r="I183" s="26" cm="1">
        <f t="array" ref="I183">INDEX(Таблица1[Количество заказов],MATCH(1,(Таблица1[Дата]=Лист1!A183)*(Таблица1[Территория]=Лист1!C183),0))</f>
        <v>5651</v>
      </c>
      <c r="J183" s="26" cm="1">
        <f t="array" ref="J183">INDEX(Таблица1[Количество клиентов],MATCH(1,(Таблица1[Дата]=Лист1!A183)*(Таблица1[Территория]=Лист1!C183),0))</f>
        <v>5212</v>
      </c>
    </row>
    <row r="184" spans="1:10" x14ac:dyDescent="0.3">
      <c r="A184" s="13">
        <v>43979</v>
      </c>
      <c r="B184" s="35">
        <f t="shared" si="2"/>
        <v>22</v>
      </c>
      <c r="C184" s="14" t="s">
        <v>15</v>
      </c>
      <c r="D184" s="25">
        <v>364638</v>
      </c>
      <c r="E184" s="28">
        <v>37947688.5</v>
      </c>
      <c r="F184" s="28">
        <v>27829971.363000002</v>
      </c>
      <c r="G184" s="29">
        <v>628647.33076923073</v>
      </c>
      <c r="H184" s="25" cm="1">
        <f t="array" ref="H184">INDEX(Таблица1[Количество складов],MATCH(1,(Таблица1[Дата]=Лист1!A184)*(Таблица1[Территория]=Лист1!C184),0))</f>
        <v>124</v>
      </c>
      <c r="I184" s="25" cm="1">
        <f t="array" ref="I184">INDEX(Таблица1[Количество заказов],MATCH(1,(Таблица1[Дата]=Лист1!A184)*(Таблица1[Территория]=Лист1!C184),0))</f>
        <v>20868</v>
      </c>
      <c r="J184" s="25" cm="1">
        <f t="array" ref="J184">INDEX(Таблица1[Количество клиентов],MATCH(1,(Таблица1[Дата]=Лист1!A184)*(Таблица1[Территория]=Лист1!C184),0))</f>
        <v>19342</v>
      </c>
    </row>
    <row r="185" spans="1:10" x14ac:dyDescent="0.3">
      <c r="A185" s="15">
        <v>43976</v>
      </c>
      <c r="B185" s="36">
        <f t="shared" si="2"/>
        <v>22</v>
      </c>
      <c r="C185" s="16" t="s">
        <v>3</v>
      </c>
      <c r="D185" s="26">
        <v>66316.5</v>
      </c>
      <c r="E185" s="30">
        <v>5704650</v>
      </c>
      <c r="F185" s="30">
        <v>4375924.2359999996</v>
      </c>
      <c r="G185" s="31">
        <v>135246.95929230767</v>
      </c>
      <c r="H185" s="26" cm="1">
        <f t="array" ref="H185">INDEX(Таблица1[Количество складов],MATCH(1,(Таблица1[Дата]=Лист1!A185)*(Таблица1[Территория]=Лист1!C185),0))</f>
        <v>36</v>
      </c>
      <c r="I185" s="26" cm="1">
        <f t="array" ref="I185">INDEX(Таблица1[Количество заказов],MATCH(1,(Таблица1[Дата]=Лист1!A185)*(Таблица1[Территория]=Лист1!C185),0))</f>
        <v>4641</v>
      </c>
      <c r="J185" s="26" cm="1">
        <f t="array" ref="J185">INDEX(Таблица1[Количество клиентов],MATCH(1,(Таблица1[Дата]=Лист1!A185)*(Таблица1[Территория]=Лист1!C185),0))</f>
        <v>4274</v>
      </c>
    </row>
    <row r="186" spans="1:10" x14ac:dyDescent="0.3">
      <c r="A186" s="13">
        <v>43951</v>
      </c>
      <c r="B186" s="35">
        <f t="shared" si="2"/>
        <v>18</v>
      </c>
      <c r="C186" s="14" t="s">
        <v>3</v>
      </c>
      <c r="D186" s="25">
        <v>78235.5</v>
      </c>
      <c r="E186" s="28">
        <v>6819594</v>
      </c>
      <c r="F186" s="28">
        <v>5260171.5349999992</v>
      </c>
      <c r="G186" s="29">
        <v>70931.816676923074</v>
      </c>
      <c r="H186" s="25" cm="1">
        <f t="array" ref="H186">INDEX(Таблица1[Количество складов],MATCH(1,(Таблица1[Дата]=Лист1!A186)*(Таблица1[Территория]=Лист1!C186),0))</f>
        <v>36</v>
      </c>
      <c r="I186" s="25" cm="1">
        <f t="array" ref="I186">INDEX(Таблица1[Количество заказов],MATCH(1,(Таблица1[Дата]=Лист1!A186)*(Таблица1[Территория]=Лист1!C186),0))</f>
        <v>5143</v>
      </c>
      <c r="J186" s="25" cm="1">
        <f t="array" ref="J186">INDEX(Таблица1[Количество клиентов],MATCH(1,(Таблица1[Дата]=Лист1!A186)*(Таблица1[Территория]=Лист1!C186),0))</f>
        <v>4715</v>
      </c>
    </row>
    <row r="187" spans="1:10" x14ac:dyDescent="0.3">
      <c r="A187" s="15">
        <v>43961</v>
      </c>
      <c r="B187" s="36">
        <f t="shared" si="2"/>
        <v>19</v>
      </c>
      <c r="C187" s="16" t="s">
        <v>3</v>
      </c>
      <c r="D187" s="26">
        <v>88311</v>
      </c>
      <c r="E187" s="30">
        <v>7726069.5</v>
      </c>
      <c r="F187" s="30">
        <v>5922893.7209999999</v>
      </c>
      <c r="G187" s="31">
        <v>161614.12454615385</v>
      </c>
      <c r="H187" s="26" cm="1">
        <f t="array" ref="H187">INDEX(Таблица1[Количество складов],MATCH(1,(Таблица1[Дата]=Лист1!A187)*(Таблица1[Территория]=Лист1!C187),0))</f>
        <v>36</v>
      </c>
      <c r="I187" s="26" cm="1">
        <f t="array" ref="I187">INDEX(Таблица1[Количество заказов],MATCH(1,(Таблица1[Дата]=Лист1!A187)*(Таблица1[Территория]=Лист1!C187),0))</f>
        <v>5746</v>
      </c>
      <c r="J187" s="26" cm="1">
        <f t="array" ref="J187">INDEX(Таблица1[Количество клиентов],MATCH(1,(Таблица1[Дата]=Лист1!A187)*(Таблица1[Территория]=Лист1!C187),0))</f>
        <v>5277</v>
      </c>
    </row>
    <row r="188" spans="1:10" x14ac:dyDescent="0.3">
      <c r="A188" s="13">
        <v>43959</v>
      </c>
      <c r="B188" s="35">
        <f t="shared" si="2"/>
        <v>19</v>
      </c>
      <c r="C188" s="14" t="s">
        <v>3</v>
      </c>
      <c r="D188" s="25">
        <v>61804.5</v>
      </c>
      <c r="E188" s="28">
        <v>5365708.5</v>
      </c>
      <c r="F188" s="28">
        <v>4091691.3249999997</v>
      </c>
      <c r="G188" s="29">
        <v>232169.67161538458</v>
      </c>
      <c r="H188" s="25" cm="1">
        <f t="array" ref="H188">INDEX(Таблица1[Количество складов],MATCH(1,(Таблица1[Дата]=Лист1!A188)*(Таблица1[Территория]=Лист1!C188),0))</f>
        <v>36</v>
      </c>
      <c r="I188" s="25" cm="1">
        <f t="array" ref="I188">INDEX(Таблица1[Количество заказов],MATCH(1,(Таблица1[Дата]=Лист1!A188)*(Таблица1[Территория]=Лист1!C188),0))</f>
        <v>4199</v>
      </c>
      <c r="J188" s="25" cm="1">
        <f t="array" ref="J188">INDEX(Таблица1[Количество клиентов],MATCH(1,(Таблица1[Дата]=Лист1!A188)*(Таблица1[Территория]=Лист1!C188),0))</f>
        <v>3867</v>
      </c>
    </row>
    <row r="189" spans="1:10" x14ac:dyDescent="0.3">
      <c r="A189" s="15">
        <v>43958</v>
      </c>
      <c r="B189" s="36">
        <f t="shared" si="2"/>
        <v>19</v>
      </c>
      <c r="C189" s="16" t="s">
        <v>3</v>
      </c>
      <c r="D189" s="26">
        <v>71067</v>
      </c>
      <c r="E189" s="30">
        <v>6175837.5</v>
      </c>
      <c r="F189" s="30">
        <v>4747959.6140000001</v>
      </c>
      <c r="G189" s="31">
        <v>157793.27424615383</v>
      </c>
      <c r="H189" s="26" cm="1">
        <f t="array" ref="H189">INDEX(Таблица1[Количество складов],MATCH(1,(Таблица1[Дата]=Лист1!A189)*(Таблица1[Территория]=Лист1!C189),0))</f>
        <v>36</v>
      </c>
      <c r="I189" s="26" cm="1">
        <f t="array" ref="I189">INDEX(Таблица1[Количество заказов],MATCH(1,(Таблица1[Дата]=Лист1!A189)*(Таблица1[Территория]=Лист1!C189),0))</f>
        <v>4826</v>
      </c>
      <c r="J189" s="26" cm="1">
        <f t="array" ref="J189">INDEX(Таблица1[Количество клиентов],MATCH(1,(Таблица1[Дата]=Лист1!A189)*(Таблица1[Территория]=Лист1!C189),0))</f>
        <v>4426</v>
      </c>
    </row>
    <row r="190" spans="1:10" x14ac:dyDescent="0.3">
      <c r="A190" s="13">
        <v>43975</v>
      </c>
      <c r="B190" s="35">
        <f t="shared" si="2"/>
        <v>21</v>
      </c>
      <c r="C190" s="14" t="s">
        <v>3</v>
      </c>
      <c r="D190" s="25">
        <v>74649</v>
      </c>
      <c r="E190" s="28">
        <v>6098236.5</v>
      </c>
      <c r="F190" s="28">
        <v>5042435.841</v>
      </c>
      <c r="G190" s="29">
        <v>156805.83461538461</v>
      </c>
      <c r="H190" s="25" cm="1">
        <f t="array" ref="H190">INDEX(Таблица1[Количество складов],MATCH(1,(Таблица1[Дата]=Лист1!A190)*(Таблица1[Территория]=Лист1!C190),0))</f>
        <v>36</v>
      </c>
      <c r="I190" s="25" cm="1">
        <f t="array" ref="I190">INDEX(Таблица1[Количество заказов],MATCH(1,(Таблица1[Дата]=Лист1!A190)*(Таблица1[Территория]=Лист1!C190),0))</f>
        <v>4915</v>
      </c>
      <c r="J190" s="25" cm="1">
        <f t="array" ref="J190">INDEX(Таблица1[Количество клиентов],MATCH(1,(Таблица1[Дата]=Лист1!A190)*(Таблица1[Территория]=Лист1!C190),0))</f>
        <v>4562</v>
      </c>
    </row>
    <row r="191" spans="1:10" x14ac:dyDescent="0.3">
      <c r="A191" s="15">
        <v>43967</v>
      </c>
      <c r="B191" s="36">
        <f t="shared" si="2"/>
        <v>20</v>
      </c>
      <c r="C191" s="16" t="s">
        <v>5</v>
      </c>
      <c r="D191" s="26">
        <v>44560.5</v>
      </c>
      <c r="E191" s="30">
        <v>4025148</v>
      </c>
      <c r="F191" s="30">
        <v>3259483.304</v>
      </c>
      <c r="G191" s="31">
        <v>145385.33866923075</v>
      </c>
      <c r="H191" s="26" cm="1">
        <f t="array" ref="H191">INDEX(Таблица1[Количество складов],MATCH(1,(Таблица1[Дата]=Лист1!A191)*(Таблица1[Территория]=Лист1!C191),0))</f>
        <v>21</v>
      </c>
      <c r="I191" s="26" cm="1">
        <f t="array" ref="I191">INDEX(Таблица1[Количество заказов],MATCH(1,(Таблица1[Дата]=Лист1!A191)*(Таблица1[Территория]=Лист1!C191),0))</f>
        <v>2427</v>
      </c>
      <c r="J191" s="26" cm="1">
        <f t="array" ref="J191">INDEX(Таблица1[Количество клиентов],MATCH(1,(Таблица1[Дата]=Лист1!A191)*(Таблица1[Территория]=Лист1!C191),0))</f>
        <v>2213</v>
      </c>
    </row>
    <row r="192" spans="1:10" x14ac:dyDescent="0.3">
      <c r="A192" s="13">
        <v>43970</v>
      </c>
      <c r="B192" s="35">
        <f t="shared" si="2"/>
        <v>21</v>
      </c>
      <c r="C192" s="14" t="s">
        <v>5</v>
      </c>
      <c r="D192" s="25">
        <v>38250</v>
      </c>
      <c r="E192" s="28">
        <v>3552937.5</v>
      </c>
      <c r="F192" s="28">
        <v>2795344.17</v>
      </c>
      <c r="G192" s="29">
        <v>245048.26007692309</v>
      </c>
      <c r="H192" s="25" cm="1">
        <f t="array" ref="H192">INDEX(Таблица1[Количество складов],MATCH(1,(Таблица1[Дата]=Лист1!A192)*(Таблица1[Территория]=Лист1!C192),0))</f>
        <v>21</v>
      </c>
      <c r="I192" s="25" cm="1">
        <f t="array" ref="I192">INDEX(Таблица1[Количество заказов],MATCH(1,(Таблица1[Дата]=Лист1!A192)*(Таблица1[Территория]=Лист1!C192),0))</f>
        <v>2245</v>
      </c>
      <c r="J192" s="25" cm="1">
        <f t="array" ref="J192">INDEX(Таблица1[Количество клиентов],MATCH(1,(Таблица1[Дата]=Лист1!A192)*(Таблица1[Территория]=Лист1!C192),0))</f>
        <v>2053</v>
      </c>
    </row>
    <row r="193" spans="1:10" x14ac:dyDescent="0.3">
      <c r="A193" s="15">
        <v>43968</v>
      </c>
      <c r="B193" s="36">
        <f t="shared" si="2"/>
        <v>20</v>
      </c>
      <c r="C193" s="16" t="s">
        <v>5</v>
      </c>
      <c r="D193" s="26">
        <v>34830</v>
      </c>
      <c r="E193" s="30">
        <v>3191155.5</v>
      </c>
      <c r="F193" s="30">
        <v>2528990.5839999998</v>
      </c>
      <c r="G193" s="31">
        <v>292821.22307692311</v>
      </c>
      <c r="H193" s="26" cm="1">
        <f t="array" ref="H193">INDEX(Таблица1[Количество складов],MATCH(1,(Таблица1[Дата]=Лист1!A193)*(Таблица1[Территория]=Лист1!C193),0))</f>
        <v>21</v>
      </c>
      <c r="I193" s="26" cm="1">
        <f t="array" ref="I193">INDEX(Таблица1[Количество заказов],MATCH(1,(Таблица1[Дата]=Лист1!A193)*(Таблица1[Территория]=Лист1!C193),0))</f>
        <v>2054</v>
      </c>
      <c r="J193" s="26" cm="1">
        <f t="array" ref="J193">INDEX(Таблица1[Количество клиентов],MATCH(1,(Таблица1[Дата]=Лист1!A193)*(Таблица1[Территория]=Лист1!C193),0))</f>
        <v>1883</v>
      </c>
    </row>
    <row r="194" spans="1:10" x14ac:dyDescent="0.3">
      <c r="A194" s="13">
        <v>43960</v>
      </c>
      <c r="B194" s="35">
        <f t="shared" si="2"/>
        <v>19</v>
      </c>
      <c r="C194" s="14" t="s">
        <v>5</v>
      </c>
      <c r="D194" s="25">
        <v>32239.5</v>
      </c>
      <c r="E194" s="28">
        <v>3084892.5</v>
      </c>
      <c r="F194" s="28">
        <v>2384575.3629999999</v>
      </c>
      <c r="G194" s="29">
        <v>184346.05176923078</v>
      </c>
      <c r="H194" s="25" cm="1">
        <f t="array" ref="H194">INDEX(Таблица1[Количество складов],MATCH(1,(Таблица1[Дата]=Лист1!A194)*(Таблица1[Территория]=Лист1!C194),0))</f>
        <v>21</v>
      </c>
      <c r="I194" s="25" cm="1">
        <f t="array" ref="I194">INDEX(Таблица1[Количество заказов],MATCH(1,(Таблица1[Дата]=Лист1!A194)*(Таблица1[Территория]=Лист1!C194),0))</f>
        <v>1891</v>
      </c>
      <c r="J194" s="25" cm="1">
        <f t="array" ref="J194">INDEX(Таблица1[Количество клиентов],MATCH(1,(Таблица1[Дата]=Лист1!A194)*(Таблица1[Территория]=Лист1!C194),0))</f>
        <v>1709</v>
      </c>
    </row>
    <row r="195" spans="1:10" x14ac:dyDescent="0.3">
      <c r="A195" s="15">
        <v>43955</v>
      </c>
      <c r="B195" s="36">
        <f t="shared" ref="B195:B258" si="3">_xlfn.ISOWEEKNUM(A195)</f>
        <v>19</v>
      </c>
      <c r="C195" s="16" t="s">
        <v>5</v>
      </c>
      <c r="D195" s="26">
        <v>30780</v>
      </c>
      <c r="E195" s="30">
        <v>2817853.5</v>
      </c>
      <c r="F195" s="30">
        <v>2169377.2250000001</v>
      </c>
      <c r="G195" s="31">
        <v>215836.18461538458</v>
      </c>
      <c r="H195" s="26" cm="1">
        <f t="array" ref="H195">INDEX(Таблица1[Количество складов],MATCH(1,(Таблица1[Дата]=Лист1!A195)*(Таблица1[Территория]=Лист1!C195),0))</f>
        <v>20</v>
      </c>
      <c r="I195" s="26" cm="1">
        <f t="array" ref="I195">INDEX(Таблица1[Количество заказов],MATCH(1,(Таблица1[Дата]=Лист1!A195)*(Таблица1[Территория]=Лист1!C195),0))</f>
        <v>1804</v>
      </c>
      <c r="J195" s="26" cm="1">
        <f t="array" ref="J195">INDEX(Таблица1[Количество клиентов],MATCH(1,(Таблица1[Дата]=Лист1!A195)*(Таблица1[Территория]=Лист1!C195),0))</f>
        <v>1638</v>
      </c>
    </row>
    <row r="196" spans="1:10" x14ac:dyDescent="0.3">
      <c r="A196" s="13">
        <v>43950</v>
      </c>
      <c r="B196" s="35">
        <f t="shared" si="3"/>
        <v>18</v>
      </c>
      <c r="C196" s="14" t="s">
        <v>5</v>
      </c>
      <c r="D196" s="25">
        <v>29142</v>
      </c>
      <c r="E196" s="28">
        <v>2627595</v>
      </c>
      <c r="F196" s="28">
        <v>2033299.2799999998</v>
      </c>
      <c r="G196" s="29">
        <v>202681.39594615382</v>
      </c>
      <c r="H196" s="25" cm="1">
        <f t="array" ref="H196">INDEX(Таблица1[Количество складов],MATCH(1,(Таблица1[Дата]=Лист1!A196)*(Таблица1[Территория]=Лист1!C196),0))</f>
        <v>19</v>
      </c>
      <c r="I196" s="25" cm="1">
        <f t="array" ref="I196">INDEX(Таблица1[Количество заказов],MATCH(1,(Таблица1[Дата]=Лист1!A196)*(Таблица1[Территория]=Лист1!C196),0))</f>
        <v>1676</v>
      </c>
      <c r="J196" s="25" cm="1">
        <f t="array" ref="J196">INDEX(Таблица1[Количество клиентов],MATCH(1,(Таблица1[Дата]=Лист1!A196)*(Таблица1[Территория]=Лист1!C196),0))</f>
        <v>1516</v>
      </c>
    </row>
    <row r="197" spans="1:10" x14ac:dyDescent="0.3">
      <c r="A197" s="15">
        <v>43953</v>
      </c>
      <c r="B197" s="36">
        <f t="shared" si="3"/>
        <v>18</v>
      </c>
      <c r="C197" s="16" t="s">
        <v>5</v>
      </c>
      <c r="D197" s="26">
        <v>26428.5</v>
      </c>
      <c r="E197" s="30">
        <v>2470465.5</v>
      </c>
      <c r="F197" s="30">
        <v>1911613.1440000001</v>
      </c>
      <c r="G197" s="31">
        <v>187667.93086153845</v>
      </c>
      <c r="H197" s="26" cm="1">
        <f t="array" ref="H197">INDEX(Таблица1[Количество складов],MATCH(1,(Таблица1[Дата]=Лист1!A197)*(Таблица1[Территория]=Лист1!C197),0))</f>
        <v>20</v>
      </c>
      <c r="I197" s="26" cm="1">
        <f t="array" ref="I197">INDEX(Таблица1[Количество заказов],MATCH(1,(Таблица1[Дата]=Лист1!A197)*(Таблица1[Территория]=Лист1!C197),0))</f>
        <v>1613</v>
      </c>
      <c r="J197" s="26" cm="1">
        <f t="array" ref="J197">INDEX(Таблица1[Количество клиентов],MATCH(1,(Таблица1[Дата]=Лист1!A197)*(Таблица1[Территория]=Лист1!C197),0))</f>
        <v>1457</v>
      </c>
    </row>
    <row r="198" spans="1:10" x14ac:dyDescent="0.3">
      <c r="A198" s="13">
        <v>43977</v>
      </c>
      <c r="B198" s="35">
        <f t="shared" si="3"/>
        <v>22</v>
      </c>
      <c r="C198" s="14" t="s">
        <v>5</v>
      </c>
      <c r="D198" s="25">
        <v>40744.5</v>
      </c>
      <c r="E198" s="28">
        <v>3700311</v>
      </c>
      <c r="F198" s="28">
        <v>2861069.8419999997</v>
      </c>
      <c r="G198" s="29">
        <v>170303.62015384613</v>
      </c>
      <c r="H198" s="25" cm="1">
        <f t="array" ref="H198">INDEX(Таблица1[Количество складов],MATCH(1,(Таблица1[Дата]=Лист1!A198)*(Таблица1[Территория]=Лист1!C198),0))</f>
        <v>21</v>
      </c>
      <c r="I198" s="25" cm="1">
        <f t="array" ref="I198">INDEX(Таблица1[Количество заказов],MATCH(1,(Таблица1[Дата]=Лист1!A198)*(Таблица1[Территория]=Лист1!C198),0))</f>
        <v>2418</v>
      </c>
      <c r="J198" s="25" cm="1">
        <f t="array" ref="J198">INDEX(Таблица1[Количество клиентов],MATCH(1,(Таблица1[Дата]=Лист1!A198)*(Таблица1[Территория]=Лист1!C198),0))</f>
        <v>2215</v>
      </c>
    </row>
    <row r="199" spans="1:10" x14ac:dyDescent="0.3">
      <c r="A199" s="15">
        <v>43952</v>
      </c>
      <c r="B199" s="36">
        <f t="shared" si="3"/>
        <v>18</v>
      </c>
      <c r="C199" s="16" t="s">
        <v>5</v>
      </c>
      <c r="D199" s="26">
        <v>46620</v>
      </c>
      <c r="E199" s="30">
        <v>4293241.5</v>
      </c>
      <c r="F199" s="30">
        <v>3389723.9589999998</v>
      </c>
      <c r="G199" s="31">
        <v>329717.03827692306</v>
      </c>
      <c r="H199" s="26" cm="1">
        <f t="array" ref="H199">INDEX(Таблица1[Количество складов],MATCH(1,(Таблица1[Дата]=Лист1!A199)*(Таблица1[Территория]=Лист1!C199),0))</f>
        <v>20</v>
      </c>
      <c r="I199" s="26" cm="1">
        <f t="array" ref="I199">INDEX(Таблица1[Количество заказов],MATCH(1,(Таблица1[Дата]=Лист1!A199)*(Таблица1[Территория]=Лист1!C199),0))</f>
        <v>2468</v>
      </c>
      <c r="J199" s="26" cm="1">
        <f t="array" ref="J199">INDEX(Таблица1[Количество клиентов],MATCH(1,(Таблица1[Дата]=Лист1!A199)*(Таблица1[Территория]=Лист1!C199),0))</f>
        <v>2221</v>
      </c>
    </row>
    <row r="200" spans="1:10" x14ac:dyDescent="0.3">
      <c r="A200" s="13">
        <v>43963</v>
      </c>
      <c r="B200" s="35">
        <f t="shared" si="3"/>
        <v>20</v>
      </c>
      <c r="C200" s="14" t="s">
        <v>5</v>
      </c>
      <c r="D200" s="25">
        <v>32419.5</v>
      </c>
      <c r="E200" s="28">
        <v>3080614.5</v>
      </c>
      <c r="F200" s="28">
        <v>2363955.7909999997</v>
      </c>
      <c r="G200" s="29">
        <v>200042.36143846155</v>
      </c>
      <c r="H200" s="25" cm="1">
        <f t="array" ref="H200">INDEX(Таблица1[Количество складов],MATCH(1,(Таблица1[Дата]=Лист1!A200)*(Таблица1[Территория]=Лист1!C200),0))</f>
        <v>21</v>
      </c>
      <c r="I200" s="25" cm="1">
        <f t="array" ref="I200">INDEX(Таблица1[Количество заказов],MATCH(1,(Таблица1[Дата]=Лист1!A200)*(Таблица1[Территория]=Лист1!C200),0))</f>
        <v>1926</v>
      </c>
      <c r="J200" s="25" cm="1">
        <f t="array" ref="J200">INDEX(Таблица1[Количество клиентов],MATCH(1,(Таблица1[Дата]=Лист1!A200)*(Таблица1[Территория]=Лист1!C200),0))</f>
        <v>1745</v>
      </c>
    </row>
    <row r="201" spans="1:10" x14ac:dyDescent="0.3">
      <c r="A201" s="15">
        <v>43972</v>
      </c>
      <c r="B201" s="36">
        <f t="shared" si="3"/>
        <v>21</v>
      </c>
      <c r="C201" s="16" t="s">
        <v>5</v>
      </c>
      <c r="D201" s="26">
        <v>40819.5</v>
      </c>
      <c r="E201" s="30">
        <v>3810394.5</v>
      </c>
      <c r="F201" s="30">
        <v>3046897.7940000002</v>
      </c>
      <c r="G201" s="31">
        <v>144594.40769230769</v>
      </c>
      <c r="H201" s="26" cm="1">
        <f t="array" ref="H201">INDEX(Таблица1[Количество складов],MATCH(1,(Таблица1[Дата]=Лист1!A201)*(Таблица1[Территория]=Лист1!C201),0))</f>
        <v>21</v>
      </c>
      <c r="I201" s="26" cm="1">
        <f t="array" ref="I201">INDEX(Таблица1[Количество заказов],MATCH(1,(Таблица1[Дата]=Лист1!A201)*(Таблица1[Территория]=Лист1!C201),0))</f>
        <v>2335</v>
      </c>
      <c r="J201" s="26" cm="1">
        <f t="array" ref="J201">INDEX(Таблица1[Количество клиентов],MATCH(1,(Таблица1[Дата]=Лист1!A201)*(Таблица1[Территория]=Лист1!C201),0))</f>
        <v>2126</v>
      </c>
    </row>
    <row r="202" spans="1:10" x14ac:dyDescent="0.3">
      <c r="A202" s="13">
        <v>43971</v>
      </c>
      <c r="B202" s="35">
        <f t="shared" si="3"/>
        <v>21</v>
      </c>
      <c r="C202" s="14" t="s">
        <v>5</v>
      </c>
      <c r="D202" s="25">
        <v>41391</v>
      </c>
      <c r="E202" s="28">
        <v>3918987</v>
      </c>
      <c r="F202" s="28">
        <v>3141103.9569999999</v>
      </c>
      <c r="G202" s="29">
        <v>205451.17950769232</v>
      </c>
      <c r="H202" s="25" cm="1">
        <f t="array" ref="H202">INDEX(Таблица1[Количество складов],MATCH(1,(Таблица1[Дата]=Лист1!A202)*(Таблица1[Территория]=Лист1!C202),0))</f>
        <v>21</v>
      </c>
      <c r="I202" s="25" cm="1">
        <f t="array" ref="I202">INDEX(Таблица1[Количество заказов],MATCH(1,(Таблица1[Дата]=Лист1!A202)*(Таблица1[Территория]=Лист1!C202),0))</f>
        <v>2410</v>
      </c>
      <c r="J202" s="25" cm="1">
        <f t="array" ref="J202">INDEX(Таблица1[Количество клиентов],MATCH(1,(Таблица1[Дата]=Лист1!A202)*(Таблица1[Территория]=Лист1!C202),0))</f>
        <v>2202</v>
      </c>
    </row>
    <row r="203" spans="1:10" x14ac:dyDescent="0.3">
      <c r="A203" s="15">
        <v>43956</v>
      </c>
      <c r="B203" s="36">
        <f t="shared" si="3"/>
        <v>19</v>
      </c>
      <c r="C203" s="16" t="s">
        <v>5</v>
      </c>
      <c r="D203" s="26">
        <v>29482.5</v>
      </c>
      <c r="E203" s="30">
        <v>2648688</v>
      </c>
      <c r="F203" s="30">
        <v>2021918.12</v>
      </c>
      <c r="G203" s="31">
        <v>219587.1531846154</v>
      </c>
      <c r="H203" s="26" cm="1">
        <f t="array" ref="H203">INDEX(Таблица1[Количество складов],MATCH(1,(Таблица1[Дата]=Лист1!A203)*(Таблица1[Территория]=Лист1!C203),0))</f>
        <v>20</v>
      </c>
      <c r="I203" s="26" cm="1">
        <f t="array" ref="I203">INDEX(Таблица1[Количество заказов],MATCH(1,(Таблица1[Дата]=Лист1!A203)*(Таблица1[Территория]=Лист1!C203),0))</f>
        <v>1757</v>
      </c>
      <c r="J203" s="26" cm="1">
        <f t="array" ref="J203">INDEX(Таблица1[Количество клиентов],MATCH(1,(Таблица1[Дата]=Лист1!A203)*(Таблица1[Территория]=Лист1!C203),0))</f>
        <v>1596</v>
      </c>
    </row>
    <row r="204" spans="1:10" x14ac:dyDescent="0.3">
      <c r="A204" s="13">
        <v>43949</v>
      </c>
      <c r="B204" s="35">
        <f t="shared" si="3"/>
        <v>18</v>
      </c>
      <c r="C204" s="14" t="s">
        <v>5</v>
      </c>
      <c r="D204" s="25">
        <v>32181</v>
      </c>
      <c r="E204" s="28">
        <v>2863600.5</v>
      </c>
      <c r="F204" s="28">
        <v>2246478.6170000001</v>
      </c>
      <c r="G204" s="29">
        <v>140503.93076923076</v>
      </c>
      <c r="H204" s="25" cm="1">
        <f t="array" ref="H204">INDEX(Таблица1[Количество складов],MATCH(1,(Таблица1[Дата]=Лист1!A204)*(Таблица1[Территория]=Лист1!C204),0))</f>
        <v>19</v>
      </c>
      <c r="I204" s="25" cm="1">
        <f t="array" ref="I204">INDEX(Таблица1[Количество заказов],MATCH(1,(Таблица1[Дата]=Лист1!A204)*(Таблица1[Территория]=Лист1!C204),0))</f>
        <v>1846</v>
      </c>
      <c r="J204" s="25" cm="1">
        <f t="array" ref="J204">INDEX(Таблица1[Количество клиентов],MATCH(1,(Таблица1[Дата]=Лист1!A204)*(Таблица1[Территория]=Лист1!C204),0))</f>
        <v>1681</v>
      </c>
    </row>
    <row r="205" spans="1:10" x14ac:dyDescent="0.3">
      <c r="A205" s="15">
        <v>43964</v>
      </c>
      <c r="B205" s="36">
        <f t="shared" si="3"/>
        <v>20</v>
      </c>
      <c r="C205" s="16" t="s">
        <v>5</v>
      </c>
      <c r="D205" s="26">
        <v>35535</v>
      </c>
      <c r="E205" s="30">
        <v>3288069</v>
      </c>
      <c r="F205" s="30">
        <v>2580984.0299999998</v>
      </c>
      <c r="G205" s="31">
        <v>208081.82515384615</v>
      </c>
      <c r="H205" s="26" cm="1">
        <f t="array" ref="H205">INDEX(Таблица1[Количество складов],MATCH(1,(Таблица1[Дата]=Лист1!A205)*(Таблица1[Территория]=Лист1!C205),0))</f>
        <v>21</v>
      </c>
      <c r="I205" s="26" cm="1">
        <f t="array" ref="I205">INDEX(Таблица1[Количество заказов],MATCH(1,(Таблица1[Дата]=Лист1!A205)*(Таблица1[Территория]=Лист1!C205),0))</f>
        <v>2061</v>
      </c>
      <c r="J205" s="26" cm="1">
        <f t="array" ref="J205">INDEX(Таблица1[Количество клиентов],MATCH(1,(Таблица1[Дата]=Лист1!A205)*(Таблица1[Территория]=Лист1!C205),0))</f>
        <v>1876</v>
      </c>
    </row>
    <row r="206" spans="1:10" x14ac:dyDescent="0.3">
      <c r="A206" s="13">
        <v>43982</v>
      </c>
      <c r="B206" s="35">
        <f t="shared" si="3"/>
        <v>22</v>
      </c>
      <c r="C206" s="14" t="s">
        <v>3</v>
      </c>
      <c r="D206" s="25">
        <v>76234.5</v>
      </c>
      <c r="E206" s="28">
        <v>6500848.5</v>
      </c>
      <c r="F206" s="28">
        <v>5172874.4439999992</v>
      </c>
      <c r="G206" s="29">
        <v>60556.251538461533</v>
      </c>
      <c r="H206" s="25" cm="1">
        <f t="array" ref="H206">INDEX(Таблица1[Количество складов],MATCH(1,(Таблица1[Дата]=Лист1!A206)*(Таблица1[Территория]=Лист1!C206),0))</f>
        <v>37</v>
      </c>
      <c r="I206" s="25" cm="1">
        <f t="array" ref="I206">INDEX(Таблица1[Количество заказов],MATCH(1,(Таблица1[Дата]=Лист1!A206)*(Таблица1[Территория]=Лист1!C206),0))</f>
        <v>5215</v>
      </c>
      <c r="J206" s="25" cm="1">
        <f t="array" ref="J206">INDEX(Таблица1[Количество клиентов],MATCH(1,(Таблица1[Дата]=Лист1!A206)*(Таблица1[Территория]=Лист1!C206),0))</f>
        <v>4848</v>
      </c>
    </row>
    <row r="207" spans="1:10" x14ac:dyDescent="0.3">
      <c r="A207" s="15">
        <v>43954</v>
      </c>
      <c r="B207" s="36">
        <f t="shared" si="3"/>
        <v>18</v>
      </c>
      <c r="C207" s="16" t="s">
        <v>5</v>
      </c>
      <c r="D207" s="26">
        <v>29935.5</v>
      </c>
      <c r="E207" s="30">
        <v>2720002.5</v>
      </c>
      <c r="F207" s="30">
        <v>2102974.0010000002</v>
      </c>
      <c r="G207" s="31">
        <v>175338.6411076923</v>
      </c>
      <c r="H207" s="26" cm="1">
        <f t="array" ref="H207">INDEX(Таблица1[Количество складов],MATCH(1,(Таблица1[Дата]=Лист1!A207)*(Таблица1[Территория]=Лист1!C207),0))</f>
        <v>20</v>
      </c>
      <c r="I207" s="26" cm="1">
        <f t="array" ref="I207">INDEX(Таблица1[Количество заказов],MATCH(1,(Таблица1[Дата]=Лист1!A207)*(Таблица1[Территория]=Лист1!C207),0))</f>
        <v>1716</v>
      </c>
      <c r="J207" s="26" cm="1">
        <f t="array" ref="J207">INDEX(Таблица1[Количество клиентов],MATCH(1,(Таблица1[Дата]=Лист1!A207)*(Таблица1[Территория]=Лист1!C207),0))</f>
        <v>1561</v>
      </c>
    </row>
    <row r="208" spans="1:10" x14ac:dyDescent="0.3">
      <c r="A208" s="13">
        <v>43981</v>
      </c>
      <c r="B208" s="35">
        <f t="shared" si="3"/>
        <v>22</v>
      </c>
      <c r="C208" s="14" t="s">
        <v>3</v>
      </c>
      <c r="D208" s="25">
        <v>106926</v>
      </c>
      <c r="E208" s="28">
        <v>9098386.5</v>
      </c>
      <c r="F208" s="28">
        <v>7354572.0109999999</v>
      </c>
      <c r="G208" s="29">
        <v>193869.59292307691</v>
      </c>
      <c r="H208" s="25" cm="1">
        <f t="array" ref="H208">INDEX(Таблица1[Количество складов],MATCH(1,(Таблица1[Дата]=Лист1!A208)*(Таблица1[Территория]=Лист1!C208),0))</f>
        <v>37</v>
      </c>
      <c r="I208" s="25" cm="1">
        <f t="array" ref="I208">INDEX(Таблица1[Количество заказов],MATCH(1,(Таблица1[Дата]=Лист1!A208)*(Таблица1[Территория]=Лист1!C208),0))</f>
        <v>6645</v>
      </c>
      <c r="J208" s="25" cm="1">
        <f t="array" ref="J208">INDEX(Таблица1[Количество клиентов],MATCH(1,(Таблица1[Дата]=Лист1!A208)*(Таблица1[Территория]=Лист1!C208),0))</f>
        <v>6122</v>
      </c>
    </row>
    <row r="209" spans="1:10" x14ac:dyDescent="0.3">
      <c r="A209" s="15">
        <v>43957</v>
      </c>
      <c r="B209" s="36">
        <f t="shared" si="3"/>
        <v>19</v>
      </c>
      <c r="C209" s="16" t="s">
        <v>5</v>
      </c>
      <c r="D209" s="26">
        <v>30342</v>
      </c>
      <c r="E209" s="30">
        <v>2738127</v>
      </c>
      <c r="F209" s="30">
        <v>2094375.01</v>
      </c>
      <c r="G209" s="31">
        <v>174068.47879999998</v>
      </c>
      <c r="H209" s="26" cm="1">
        <f t="array" ref="H209">INDEX(Таблица1[Количество складов],MATCH(1,(Таблица1[Дата]=Лист1!A209)*(Таблица1[Территория]=Лист1!C209),0))</f>
        <v>20</v>
      </c>
      <c r="I209" s="26" cm="1">
        <f t="array" ref="I209">INDEX(Таблица1[Количество заказов],MATCH(1,(Таблица1[Дата]=Лист1!A209)*(Таблица1[Территория]=Лист1!C209),0))</f>
        <v>1747</v>
      </c>
      <c r="J209" s="26" cm="1">
        <f t="array" ref="J209">INDEX(Таблица1[Количество клиентов],MATCH(1,(Таблица1[Дата]=Лист1!A209)*(Таблица1[Территория]=Лист1!C209),0))</f>
        <v>1570</v>
      </c>
    </row>
    <row r="210" spans="1:10" x14ac:dyDescent="0.3">
      <c r="A210" s="13">
        <v>43974</v>
      </c>
      <c r="B210" s="35">
        <f t="shared" si="3"/>
        <v>21</v>
      </c>
      <c r="C210" s="14" t="s">
        <v>5</v>
      </c>
      <c r="D210" s="25">
        <v>42999</v>
      </c>
      <c r="E210" s="28">
        <v>3883215</v>
      </c>
      <c r="F210" s="28">
        <v>3151914.3419999997</v>
      </c>
      <c r="G210" s="29">
        <v>162279.9956153846</v>
      </c>
      <c r="H210" s="25" cm="1">
        <f t="array" ref="H210">INDEX(Таблица1[Количество складов],MATCH(1,(Таблица1[Дата]=Лист1!A210)*(Таблица1[Территория]=Лист1!C210),0))</f>
        <v>21</v>
      </c>
      <c r="I210" s="25" cm="1">
        <f t="array" ref="I210">INDEX(Таблица1[Количество заказов],MATCH(1,(Таблица1[Дата]=Лист1!A210)*(Таблица1[Территория]=Лист1!C210),0))</f>
        <v>2460</v>
      </c>
      <c r="J210" s="25" cm="1">
        <f t="array" ref="J210">INDEX(Таблица1[Количество клиентов],MATCH(1,(Таблица1[Дата]=Лист1!A210)*(Таблица1[Территория]=Лист1!C210),0))</f>
        <v>2226</v>
      </c>
    </row>
    <row r="211" spans="1:10" x14ac:dyDescent="0.3">
      <c r="A211" s="15">
        <v>43979</v>
      </c>
      <c r="B211" s="36">
        <f t="shared" si="3"/>
        <v>22</v>
      </c>
      <c r="C211" s="16" t="s">
        <v>3</v>
      </c>
      <c r="D211" s="26">
        <v>69945</v>
      </c>
      <c r="E211" s="30">
        <v>6101931</v>
      </c>
      <c r="F211" s="30">
        <v>4743581.9779999992</v>
      </c>
      <c r="G211" s="31">
        <v>226018.55243846151</v>
      </c>
      <c r="H211" s="26" cm="1">
        <f t="array" ref="H211">INDEX(Таблица1[Количество складов],MATCH(1,(Таблица1[Дата]=Лист1!A211)*(Таблица1[Территория]=Лист1!C211),0))</f>
        <v>37</v>
      </c>
      <c r="I211" s="26" cm="1">
        <f t="array" ref="I211">INDEX(Таблица1[Количество заказов],MATCH(1,(Таблица1[Дата]=Лист1!A211)*(Таблица1[Территория]=Лист1!C211),0))</f>
        <v>4840</v>
      </c>
      <c r="J211" s="26" cm="1">
        <f t="array" ref="J211">INDEX(Таблица1[Количество клиентов],MATCH(1,(Таблица1[Дата]=Лист1!A211)*(Таблица1[Территория]=Лист1!C211),0))</f>
        <v>4475</v>
      </c>
    </row>
    <row r="212" spans="1:10" x14ac:dyDescent="0.3">
      <c r="A212" s="13">
        <v>43976</v>
      </c>
      <c r="B212" s="35">
        <f t="shared" si="3"/>
        <v>22</v>
      </c>
      <c r="C212" s="14" t="s">
        <v>5</v>
      </c>
      <c r="D212" s="25">
        <v>38740.5</v>
      </c>
      <c r="E212" s="28">
        <v>3561655.5</v>
      </c>
      <c r="F212" s="28">
        <v>2769041.2770000002</v>
      </c>
      <c r="G212" s="29">
        <v>180495.52483076922</v>
      </c>
      <c r="H212" s="25" cm="1">
        <f t="array" ref="H212">INDEX(Таблица1[Количество складов],MATCH(1,(Таблица1[Дата]=Лист1!A212)*(Таблица1[Территория]=Лист1!C212),0))</f>
        <v>21</v>
      </c>
      <c r="I212" s="25" cm="1">
        <f t="array" ref="I212">INDEX(Таблица1[Количество заказов],MATCH(1,(Таблица1[Дата]=Лист1!A212)*(Таблица1[Территория]=Лист1!C212),0))</f>
        <v>2330</v>
      </c>
      <c r="J212" s="25" cm="1">
        <f t="array" ref="J212">INDEX(Таблица1[Количество клиентов],MATCH(1,(Таблица1[Дата]=Лист1!A212)*(Таблица1[Территория]=Лист1!C212),0))</f>
        <v>2142</v>
      </c>
    </row>
    <row r="213" spans="1:10" x14ac:dyDescent="0.3">
      <c r="A213" s="15">
        <v>43951</v>
      </c>
      <c r="B213" s="36">
        <f t="shared" si="3"/>
        <v>18</v>
      </c>
      <c r="C213" s="16" t="s">
        <v>5</v>
      </c>
      <c r="D213" s="26">
        <v>31231.5</v>
      </c>
      <c r="E213" s="30">
        <v>2853310.5</v>
      </c>
      <c r="F213" s="30">
        <v>2211817.6569999997</v>
      </c>
      <c r="G213" s="31">
        <v>63441.684615384613</v>
      </c>
      <c r="H213" s="26" cm="1">
        <f t="array" ref="H213">INDEX(Таблица1[Количество складов],MATCH(1,(Таблица1[Дата]=Лист1!A213)*(Таблица1[Территория]=Лист1!C213),0))</f>
        <v>20</v>
      </c>
      <c r="I213" s="26" cm="1">
        <f t="array" ref="I213">INDEX(Таблица1[Количество заказов],MATCH(1,(Таблица1[Дата]=Лист1!A213)*(Таблица1[Территория]=Лист1!C213),0))</f>
        <v>1756</v>
      </c>
      <c r="J213" s="26" cm="1">
        <f t="array" ref="J213">INDEX(Таблица1[Количество клиентов],MATCH(1,(Таблица1[Дата]=Лист1!A213)*(Таблица1[Территория]=Лист1!C213),0))</f>
        <v>1586</v>
      </c>
    </row>
    <row r="214" spans="1:10" x14ac:dyDescent="0.3">
      <c r="A214" s="13">
        <v>43961</v>
      </c>
      <c r="B214" s="35">
        <f t="shared" si="3"/>
        <v>19</v>
      </c>
      <c r="C214" s="14" t="s">
        <v>5</v>
      </c>
      <c r="D214" s="25">
        <v>37489.5</v>
      </c>
      <c r="E214" s="28">
        <v>3549097.5</v>
      </c>
      <c r="F214" s="28">
        <v>2745646.9479999999</v>
      </c>
      <c r="G214" s="29">
        <v>258287.05384615384</v>
      </c>
      <c r="H214" s="25" cm="1">
        <f t="array" ref="H214">INDEX(Таблица1[Количество складов],MATCH(1,(Таблица1[Дата]=Лист1!A214)*(Таблица1[Территория]=Лист1!C214),0))</f>
        <v>21</v>
      </c>
      <c r="I214" s="25" cm="1">
        <f t="array" ref="I214">INDEX(Таблица1[Количество заказов],MATCH(1,(Таблица1[Дата]=Лист1!A214)*(Таблица1[Территория]=Лист1!C214),0))</f>
        <v>2120</v>
      </c>
      <c r="J214" s="25" cm="1">
        <f t="array" ref="J214">INDEX(Таблица1[Количество клиентов],MATCH(1,(Таблица1[Дата]=Лист1!A214)*(Таблица1[Территория]=Лист1!C214),0))</f>
        <v>1921</v>
      </c>
    </row>
    <row r="215" spans="1:10" x14ac:dyDescent="0.3">
      <c r="A215" s="15">
        <v>43959</v>
      </c>
      <c r="B215" s="36">
        <f t="shared" si="3"/>
        <v>19</v>
      </c>
      <c r="C215" s="16" t="s">
        <v>5</v>
      </c>
      <c r="D215" s="26">
        <v>34399.5</v>
      </c>
      <c r="E215" s="30">
        <v>3201358.5</v>
      </c>
      <c r="F215" s="30">
        <v>2481896.3339999998</v>
      </c>
      <c r="G215" s="31">
        <v>156377.12456923077</v>
      </c>
      <c r="H215" s="26" cm="1">
        <f t="array" ref="H215">INDEX(Таблица1[Количество складов],MATCH(1,(Таблица1[Дата]=Лист1!A215)*(Таблица1[Территория]=Лист1!C215),0))</f>
        <v>21</v>
      </c>
      <c r="I215" s="26" cm="1">
        <f t="array" ref="I215">INDEX(Таблица1[Количество заказов],MATCH(1,(Таблица1[Дата]=Лист1!A215)*(Таблица1[Территория]=Лист1!C215),0))</f>
        <v>1957</v>
      </c>
      <c r="J215" s="26" cm="1">
        <f t="array" ref="J215">INDEX(Таблица1[Количество клиентов],MATCH(1,(Таблица1[Дата]=Лист1!A215)*(Таблица1[Территория]=Лист1!C215),0))</f>
        <v>1755</v>
      </c>
    </row>
    <row r="216" spans="1:10" x14ac:dyDescent="0.3">
      <c r="A216" s="13">
        <v>43958</v>
      </c>
      <c r="B216" s="35">
        <f t="shared" si="3"/>
        <v>19</v>
      </c>
      <c r="C216" s="14" t="s">
        <v>5</v>
      </c>
      <c r="D216" s="25">
        <v>32851.5</v>
      </c>
      <c r="E216" s="28">
        <v>2934504</v>
      </c>
      <c r="F216" s="28">
        <v>2253872.1379999998</v>
      </c>
      <c r="G216" s="29">
        <v>160756.50769230767</v>
      </c>
      <c r="H216" s="25" cm="1">
        <f t="array" ref="H216">INDEX(Таблица1[Количество складов],MATCH(1,(Таблица1[Дата]=Лист1!A216)*(Таблица1[Территория]=Лист1!C216),0))</f>
        <v>21</v>
      </c>
      <c r="I216" s="25" cm="1">
        <f t="array" ref="I216">INDEX(Таблица1[Количество заказов],MATCH(1,(Таблица1[Дата]=Лист1!A216)*(Таблица1[Территория]=Лист1!C216),0))</f>
        <v>1879</v>
      </c>
      <c r="J216" s="25" cm="1">
        <f t="array" ref="J216">INDEX(Таблица1[Количество клиентов],MATCH(1,(Таблица1[Дата]=Лист1!A216)*(Таблица1[Территория]=Лист1!C216),0))</f>
        <v>1695</v>
      </c>
    </row>
    <row r="217" spans="1:10" x14ac:dyDescent="0.3">
      <c r="A217" s="15">
        <v>43975</v>
      </c>
      <c r="B217" s="36">
        <f t="shared" si="3"/>
        <v>21</v>
      </c>
      <c r="C217" s="16" t="s">
        <v>5</v>
      </c>
      <c r="D217" s="26">
        <v>38194.5</v>
      </c>
      <c r="E217" s="30">
        <v>3449302.5</v>
      </c>
      <c r="F217" s="30">
        <v>2798056.2479999997</v>
      </c>
      <c r="G217" s="31">
        <v>174707.83838461537</v>
      </c>
      <c r="H217" s="26" cm="1">
        <f t="array" ref="H217">INDEX(Таблица1[Количество складов],MATCH(1,(Таблица1[Дата]=Лист1!A217)*(Таблица1[Территория]=Лист1!C217),0))</f>
        <v>21</v>
      </c>
      <c r="I217" s="26" cm="1">
        <f t="array" ref="I217">INDEX(Таблица1[Количество заказов],MATCH(1,(Таблица1[Дата]=Лист1!A217)*(Таблица1[Территория]=Лист1!C217),0))</f>
        <v>2254</v>
      </c>
      <c r="J217" s="26" cm="1">
        <f t="array" ref="J217">INDEX(Таблица1[Количество клиентов],MATCH(1,(Таблица1[Дата]=Лист1!A217)*(Таблица1[Территория]=Лист1!C217),0))</f>
        <v>2061</v>
      </c>
    </row>
    <row r="218" spans="1:10" x14ac:dyDescent="0.3">
      <c r="A218" s="13">
        <v>43982</v>
      </c>
      <c r="B218" s="35">
        <f t="shared" si="3"/>
        <v>22</v>
      </c>
      <c r="C218" s="14" t="s">
        <v>5</v>
      </c>
      <c r="D218" s="25">
        <v>42423</v>
      </c>
      <c r="E218" s="28">
        <v>3994153.5</v>
      </c>
      <c r="F218" s="28">
        <v>3105853.9129999997</v>
      </c>
      <c r="G218" s="29">
        <v>53605.712153846151</v>
      </c>
      <c r="H218" s="25" cm="1">
        <f t="array" ref="H218">INDEX(Таблица1[Количество складов],MATCH(1,(Таблица1[Дата]=Лист1!A218)*(Таблица1[Территория]=Лист1!C218),0))</f>
        <v>23</v>
      </c>
      <c r="I218" s="25" cm="1">
        <f t="array" ref="I218">INDEX(Таблица1[Количество заказов],MATCH(1,(Таблица1[Дата]=Лист1!A218)*(Таблица1[Территория]=Лист1!C218),0))</f>
        <v>2522</v>
      </c>
      <c r="J218" s="25" cm="1">
        <f t="array" ref="J218">INDEX(Таблица1[Количество клиентов],MATCH(1,(Таблица1[Дата]=Лист1!A218)*(Таблица1[Территория]=Лист1!C218),0))</f>
        <v>2295</v>
      </c>
    </row>
    <row r="219" spans="1:10" x14ac:dyDescent="0.3">
      <c r="A219" s="15">
        <v>43981</v>
      </c>
      <c r="B219" s="36">
        <f t="shared" si="3"/>
        <v>22</v>
      </c>
      <c r="C219" s="16" t="s">
        <v>5</v>
      </c>
      <c r="D219" s="26">
        <v>48286.5</v>
      </c>
      <c r="E219" s="30">
        <v>4456441.5</v>
      </c>
      <c r="F219" s="30">
        <v>3473157.5449999999</v>
      </c>
      <c r="G219" s="31">
        <v>205639.55141538463</v>
      </c>
      <c r="H219" s="26" cm="1">
        <f t="array" ref="H219">INDEX(Таблица1[Количество складов],MATCH(1,(Таблица1[Дата]=Лист1!A219)*(Таблица1[Территория]=Лист1!C219),0))</f>
        <v>22</v>
      </c>
      <c r="I219" s="26" cm="1">
        <f t="array" ref="I219">INDEX(Таблица1[Количество заказов],MATCH(1,(Таблица1[Дата]=Лист1!A219)*(Таблица1[Территория]=Лист1!C219),0))</f>
        <v>2793</v>
      </c>
      <c r="J219" s="26" cm="1">
        <f t="array" ref="J219">INDEX(Таблица1[Количество клиентов],MATCH(1,(Таблица1[Дата]=Лист1!A219)*(Таблица1[Территория]=Лист1!C219),0))</f>
        <v>2539</v>
      </c>
    </row>
    <row r="220" spans="1:10" x14ac:dyDescent="0.3">
      <c r="A220" s="13">
        <v>43979</v>
      </c>
      <c r="B220" s="35">
        <f t="shared" si="3"/>
        <v>22</v>
      </c>
      <c r="C220" s="14" t="s">
        <v>5</v>
      </c>
      <c r="D220" s="25">
        <v>41442</v>
      </c>
      <c r="E220" s="28">
        <v>3893680.5</v>
      </c>
      <c r="F220" s="28">
        <v>3004872.3489999999</v>
      </c>
      <c r="G220" s="29">
        <v>190911.88401538462</v>
      </c>
      <c r="H220" s="25" cm="1">
        <f t="array" ref="H220">INDEX(Таблица1[Количество складов],MATCH(1,(Таблица1[Дата]=Лист1!A220)*(Таблица1[Территория]=Лист1!C220),0))</f>
        <v>22</v>
      </c>
      <c r="I220" s="25" cm="1">
        <f t="array" ref="I220">INDEX(Таблица1[Количество заказов],MATCH(1,(Таблица1[Дата]=Лист1!A220)*(Таблица1[Территория]=Лист1!C220),0))</f>
        <v>2454</v>
      </c>
      <c r="J220" s="25" cm="1">
        <f t="array" ref="J220">INDEX(Таблица1[Количество клиентов],MATCH(1,(Таблица1[Дата]=Лист1!A220)*(Таблица1[Территория]=Лист1!C220),0))</f>
        <v>2239</v>
      </c>
    </row>
    <row r="221" spans="1:10" x14ac:dyDescent="0.3">
      <c r="A221" s="15">
        <v>43967</v>
      </c>
      <c r="B221" s="36">
        <f t="shared" si="3"/>
        <v>20</v>
      </c>
      <c r="C221" s="16" t="s">
        <v>12</v>
      </c>
      <c r="D221" s="26">
        <v>18600</v>
      </c>
      <c r="E221" s="30">
        <v>1601425.5</v>
      </c>
      <c r="F221" s="30">
        <v>1268422.666</v>
      </c>
      <c r="G221" s="31">
        <v>189642.93076923076</v>
      </c>
      <c r="H221" s="26" cm="1">
        <f t="array" ref="H221">INDEX(Таблица1[Количество складов],MATCH(1,(Таблица1[Дата]=Лист1!A221)*(Таблица1[Территория]=Лист1!C221),0))</f>
        <v>15</v>
      </c>
      <c r="I221" s="26" cm="1">
        <f t="array" ref="I221">INDEX(Таблица1[Количество заказов],MATCH(1,(Таблица1[Дата]=Лист1!A221)*(Таблица1[Территория]=Лист1!C221),0))</f>
        <v>1111</v>
      </c>
      <c r="J221" s="26" cm="1">
        <f t="array" ref="J221">INDEX(Таблица1[Количество клиентов],MATCH(1,(Таблица1[Дата]=Лист1!A221)*(Таблица1[Территория]=Лист1!C221),0))</f>
        <v>992</v>
      </c>
    </row>
    <row r="222" spans="1:10" x14ac:dyDescent="0.3">
      <c r="A222" s="13">
        <v>43970</v>
      </c>
      <c r="B222" s="35">
        <f t="shared" si="3"/>
        <v>21</v>
      </c>
      <c r="C222" s="14" t="s">
        <v>12</v>
      </c>
      <c r="D222" s="25">
        <v>16638</v>
      </c>
      <c r="E222" s="28">
        <v>1364847</v>
      </c>
      <c r="F222" s="28">
        <v>1137103.412</v>
      </c>
      <c r="G222" s="29">
        <v>258642.5153846154</v>
      </c>
      <c r="H222" s="25" cm="1">
        <f t="array" ref="H222">INDEX(Таблица1[Количество складов],MATCH(1,(Таблица1[Дата]=Лист1!A222)*(Таблица1[Территория]=Лист1!C222),0))</f>
        <v>16</v>
      </c>
      <c r="I222" s="25" cm="1">
        <f t="array" ref="I222">INDEX(Таблица1[Количество заказов],MATCH(1,(Таблица1[Дата]=Лист1!A222)*(Таблица1[Территория]=Лист1!C222),0))</f>
        <v>1012</v>
      </c>
      <c r="J222" s="25" cm="1">
        <f t="array" ref="J222">INDEX(Таблица1[Количество клиентов],MATCH(1,(Таблица1[Дата]=Лист1!A222)*(Таблица1[Территория]=Лист1!C222),0))</f>
        <v>900</v>
      </c>
    </row>
    <row r="223" spans="1:10" x14ac:dyDescent="0.3">
      <c r="A223" s="15">
        <v>43968</v>
      </c>
      <c r="B223" s="36">
        <f t="shared" si="3"/>
        <v>20</v>
      </c>
      <c r="C223" s="16" t="s">
        <v>12</v>
      </c>
      <c r="D223" s="26">
        <v>15609</v>
      </c>
      <c r="E223" s="30">
        <v>1377577.5</v>
      </c>
      <c r="F223" s="30">
        <v>1086345.0159999998</v>
      </c>
      <c r="G223" s="31">
        <v>224718.40769230769</v>
      </c>
      <c r="H223" s="26" cm="1">
        <f t="array" ref="H223">INDEX(Таблица1[Количество складов],MATCH(1,(Таблица1[Дата]=Лист1!A223)*(Таблица1[Территория]=Лист1!C223),0))</f>
        <v>15</v>
      </c>
      <c r="I223" s="26" cm="1">
        <f t="array" ref="I223">INDEX(Таблица1[Количество заказов],MATCH(1,(Таблица1[Дата]=Лист1!A223)*(Таблица1[Территория]=Лист1!C223),0))</f>
        <v>971</v>
      </c>
      <c r="J223" s="26" cm="1">
        <f t="array" ref="J223">INDEX(Таблица1[Количество клиентов],MATCH(1,(Таблица1[Дата]=Лист1!A223)*(Таблица1[Территория]=Лист1!C223),0))</f>
        <v>856</v>
      </c>
    </row>
    <row r="224" spans="1:10" x14ac:dyDescent="0.3">
      <c r="A224" s="13">
        <v>43960</v>
      </c>
      <c r="B224" s="35">
        <f t="shared" si="3"/>
        <v>19</v>
      </c>
      <c r="C224" s="14" t="s">
        <v>12</v>
      </c>
      <c r="D224" s="25">
        <v>13948.5</v>
      </c>
      <c r="E224" s="28">
        <v>1222932</v>
      </c>
      <c r="F224" s="28">
        <v>974409.1449999999</v>
      </c>
      <c r="G224" s="29">
        <v>299208.26923076925</v>
      </c>
      <c r="H224" s="25" cm="1">
        <f t="array" ref="H224">INDEX(Таблица1[Количество складов],MATCH(1,(Таблица1[Дата]=Лист1!A224)*(Таблица1[Территория]=Лист1!C224),0))</f>
        <v>15</v>
      </c>
      <c r="I224" s="25" cm="1">
        <f t="array" ref="I224">INDEX(Таблица1[Количество заказов],MATCH(1,(Таблица1[Дата]=Лист1!A224)*(Таблица1[Территория]=Лист1!C224),0))</f>
        <v>849</v>
      </c>
      <c r="J224" s="25" cm="1">
        <f t="array" ref="J224">INDEX(Таблица1[Количество клиентов],MATCH(1,(Таблица1[Дата]=Лист1!A224)*(Таблица1[Территория]=Лист1!C224),0))</f>
        <v>740</v>
      </c>
    </row>
    <row r="225" spans="1:10" x14ac:dyDescent="0.3">
      <c r="A225" s="15">
        <v>43955</v>
      </c>
      <c r="B225" s="36">
        <f t="shared" si="3"/>
        <v>19</v>
      </c>
      <c r="C225" s="16" t="s">
        <v>12</v>
      </c>
      <c r="D225" s="26">
        <v>12301.5</v>
      </c>
      <c r="E225" s="30">
        <v>1085211</v>
      </c>
      <c r="F225" s="30">
        <v>874153.34499999997</v>
      </c>
      <c r="G225" s="31">
        <v>243709.48269230771</v>
      </c>
      <c r="H225" s="26" cm="1">
        <f t="array" ref="H225">INDEX(Таблица1[Количество складов],MATCH(1,(Таблица1[Дата]=Лист1!A225)*(Таблица1[Территория]=Лист1!C225),0))</f>
        <v>15</v>
      </c>
      <c r="I225" s="26" cm="1">
        <f t="array" ref="I225">INDEX(Таблица1[Количество заказов],MATCH(1,(Таблица1[Дата]=Лист1!A225)*(Таблица1[Территория]=Лист1!C225),0))</f>
        <v>750</v>
      </c>
      <c r="J225" s="26" cm="1">
        <f t="array" ref="J225">INDEX(Таблица1[Количество клиентов],MATCH(1,(Таблица1[Дата]=Лист1!A225)*(Таблица1[Территория]=Лист1!C225),0))</f>
        <v>647</v>
      </c>
    </row>
    <row r="226" spans="1:10" x14ac:dyDescent="0.3">
      <c r="A226" s="13">
        <v>43950</v>
      </c>
      <c r="B226" s="35">
        <f t="shared" si="3"/>
        <v>18</v>
      </c>
      <c r="C226" s="14" t="s">
        <v>12</v>
      </c>
      <c r="D226" s="25">
        <v>13014</v>
      </c>
      <c r="E226" s="28">
        <v>1115992.5</v>
      </c>
      <c r="F226" s="28">
        <v>928035.23599999992</v>
      </c>
      <c r="G226" s="29">
        <v>185811.06153846154</v>
      </c>
      <c r="H226" s="25" cm="1">
        <f t="array" ref="H226">INDEX(Таблица1[Количество складов],MATCH(1,(Таблица1[Дата]=Лист1!A226)*(Таблица1[Территория]=Лист1!C226),0))</f>
        <v>15</v>
      </c>
      <c r="I226" s="25" cm="1">
        <f t="array" ref="I226">INDEX(Таблица1[Количество заказов],MATCH(1,(Таблица1[Дата]=Лист1!A226)*(Таблица1[Территория]=Лист1!C226),0))</f>
        <v>786</v>
      </c>
      <c r="J226" s="25" cm="1">
        <f t="array" ref="J226">INDEX(Таблица1[Количество клиентов],MATCH(1,(Таблица1[Дата]=Лист1!A226)*(Таблица1[Территория]=Лист1!C226),0))</f>
        <v>695</v>
      </c>
    </row>
    <row r="227" spans="1:10" x14ac:dyDescent="0.3">
      <c r="A227" s="15">
        <v>43953</v>
      </c>
      <c r="B227" s="36">
        <f t="shared" si="3"/>
        <v>18</v>
      </c>
      <c r="C227" s="16" t="s">
        <v>12</v>
      </c>
      <c r="D227" s="26">
        <v>12313.5</v>
      </c>
      <c r="E227" s="30">
        <v>1053220.5</v>
      </c>
      <c r="F227" s="30">
        <v>843395.10900000005</v>
      </c>
      <c r="G227" s="31">
        <v>137019.67692307691</v>
      </c>
      <c r="H227" s="26" cm="1">
        <f t="array" ref="H227">INDEX(Таблица1[Количество складов],MATCH(1,(Таблица1[Дата]=Лист1!A227)*(Таблица1[Территория]=Лист1!C227),0))</f>
        <v>15</v>
      </c>
      <c r="I227" s="26" cm="1">
        <f t="array" ref="I227">INDEX(Таблица1[Количество заказов],MATCH(1,(Таблица1[Дата]=Лист1!A227)*(Таблица1[Территория]=Лист1!C227),0))</f>
        <v>751</v>
      </c>
      <c r="J227" s="26" cm="1">
        <f t="array" ref="J227">INDEX(Таблица1[Количество клиентов],MATCH(1,(Таблица1[Дата]=Лист1!A227)*(Таблица1[Территория]=Лист1!C227),0))</f>
        <v>651</v>
      </c>
    </row>
    <row r="228" spans="1:10" x14ac:dyDescent="0.3">
      <c r="A228" s="13">
        <v>43977</v>
      </c>
      <c r="B228" s="35">
        <f t="shared" si="3"/>
        <v>22</v>
      </c>
      <c r="C228" s="14" t="s">
        <v>12</v>
      </c>
      <c r="D228" s="25">
        <v>17391</v>
      </c>
      <c r="E228" s="28">
        <v>1489132.5</v>
      </c>
      <c r="F228" s="28">
        <v>1209901.0159999998</v>
      </c>
      <c r="G228" s="29">
        <v>272121.81538461539</v>
      </c>
      <c r="H228" s="25" cm="1">
        <f t="array" ref="H228">INDEX(Таблица1[Количество складов],MATCH(1,(Таблица1[Дата]=Лист1!A228)*(Таблица1[Территория]=Лист1!C228),0))</f>
        <v>17</v>
      </c>
      <c r="I228" s="25" cm="1">
        <f t="array" ref="I228">INDEX(Таблица1[Количество заказов],MATCH(1,(Таблица1[Дата]=Лист1!A228)*(Таблица1[Территория]=Лист1!C228),0))</f>
        <v>1140</v>
      </c>
      <c r="J228" s="25" cm="1">
        <f t="array" ref="J228">INDEX(Таблица1[Количество клиентов],MATCH(1,(Таблица1[Дата]=Лист1!A228)*(Таблица1[Территория]=Лист1!C228),0))</f>
        <v>1016</v>
      </c>
    </row>
    <row r="229" spans="1:10" x14ac:dyDescent="0.3">
      <c r="A229" s="15">
        <v>43952</v>
      </c>
      <c r="B229" s="36">
        <f t="shared" si="3"/>
        <v>18</v>
      </c>
      <c r="C229" s="16" t="s">
        <v>12</v>
      </c>
      <c r="D229" s="26">
        <v>17113.5</v>
      </c>
      <c r="E229" s="30">
        <v>1465842</v>
      </c>
      <c r="F229" s="30">
        <v>1193019.642</v>
      </c>
      <c r="G229" s="31">
        <v>272484.63076923077</v>
      </c>
      <c r="H229" s="26" cm="1">
        <f t="array" ref="H229">INDEX(Таблица1[Количество складов],MATCH(1,(Таблица1[Дата]=Лист1!A229)*(Таблица1[Территория]=Лист1!C229),0))</f>
        <v>15</v>
      </c>
      <c r="I229" s="26" cm="1">
        <f t="array" ref="I229">INDEX(Таблица1[Количество заказов],MATCH(1,(Таблица1[Дата]=Лист1!A229)*(Таблица1[Территория]=Лист1!C229),0))</f>
        <v>996</v>
      </c>
      <c r="J229" s="26" cm="1">
        <f t="array" ref="J229">INDEX(Таблица1[Количество клиентов],MATCH(1,(Таблица1[Дата]=Лист1!A229)*(Таблица1[Территория]=Лист1!C229),0))</f>
        <v>888</v>
      </c>
    </row>
    <row r="230" spans="1:10" x14ac:dyDescent="0.3">
      <c r="A230" s="13">
        <v>43963</v>
      </c>
      <c r="B230" s="35">
        <f t="shared" si="3"/>
        <v>20</v>
      </c>
      <c r="C230" s="14" t="s">
        <v>12</v>
      </c>
      <c r="D230" s="25">
        <v>12802.5</v>
      </c>
      <c r="E230" s="28">
        <v>1123830</v>
      </c>
      <c r="F230" s="28">
        <v>914932.571</v>
      </c>
      <c r="G230" s="29">
        <v>284287.79007692303</v>
      </c>
      <c r="H230" s="25" cm="1">
        <f t="array" ref="H230">INDEX(Таблица1[Количество складов],MATCH(1,(Таблица1[Дата]=Лист1!A230)*(Таблица1[Территория]=Лист1!C230),0))</f>
        <v>15</v>
      </c>
      <c r="I230" s="25" cm="1">
        <f t="array" ref="I230">INDEX(Таблица1[Количество заказов],MATCH(1,(Таблица1[Дата]=Лист1!A230)*(Таблица1[Территория]=Лист1!C230),0))</f>
        <v>845</v>
      </c>
      <c r="J230" s="25" cm="1">
        <f t="array" ref="J230">INDEX(Таблица1[Количество клиентов],MATCH(1,(Таблица1[Дата]=Лист1!A230)*(Таблица1[Территория]=Лист1!C230),0))</f>
        <v>743</v>
      </c>
    </row>
    <row r="231" spans="1:10" x14ac:dyDescent="0.3">
      <c r="A231" s="15">
        <v>43972</v>
      </c>
      <c r="B231" s="36">
        <f t="shared" si="3"/>
        <v>21</v>
      </c>
      <c r="C231" s="16" t="s">
        <v>12</v>
      </c>
      <c r="D231" s="26">
        <v>16554</v>
      </c>
      <c r="E231" s="30">
        <v>1380751.5</v>
      </c>
      <c r="F231" s="30">
        <v>1137748.7319999998</v>
      </c>
      <c r="G231" s="31">
        <v>227139.51416923077</v>
      </c>
      <c r="H231" s="26" cm="1">
        <f t="array" ref="H231">INDEX(Таблица1[Количество складов],MATCH(1,(Таблица1[Дата]=Лист1!A231)*(Таблица1[Территория]=Лист1!C231),0))</f>
        <v>17</v>
      </c>
      <c r="I231" s="26" cm="1">
        <f t="array" ref="I231">INDEX(Таблица1[Количество заказов],MATCH(1,(Таблица1[Дата]=Лист1!A231)*(Таблица1[Территория]=Лист1!C231),0))</f>
        <v>1045</v>
      </c>
      <c r="J231" s="26" cm="1">
        <f t="array" ref="J231">INDEX(Таблица1[Количество клиентов],MATCH(1,(Таблица1[Дата]=Лист1!A231)*(Таблица1[Территория]=Лист1!C231),0))</f>
        <v>930</v>
      </c>
    </row>
    <row r="232" spans="1:10" x14ac:dyDescent="0.3">
      <c r="A232" s="13">
        <v>43971</v>
      </c>
      <c r="B232" s="35">
        <f t="shared" si="3"/>
        <v>21</v>
      </c>
      <c r="C232" s="14" t="s">
        <v>12</v>
      </c>
      <c r="D232" s="25">
        <v>17329.5</v>
      </c>
      <c r="E232" s="28">
        <v>1430254.5</v>
      </c>
      <c r="F232" s="28">
        <v>1175778.8370000001</v>
      </c>
      <c r="G232" s="29">
        <v>286968.87692307692</v>
      </c>
      <c r="H232" s="25" cm="1">
        <f t="array" ref="H232">INDEX(Таблица1[Количество складов],MATCH(1,(Таблица1[Дата]=Лист1!A232)*(Таблица1[Территория]=Лист1!C232),0))</f>
        <v>16</v>
      </c>
      <c r="I232" s="25" cm="1">
        <f t="array" ref="I232">INDEX(Таблица1[Количество заказов],MATCH(1,(Таблица1[Дата]=Лист1!A232)*(Таблица1[Территория]=Лист1!C232),0))</f>
        <v>1050</v>
      </c>
      <c r="J232" s="25" cm="1">
        <f t="array" ref="J232">INDEX(Таблица1[Количество клиентов],MATCH(1,(Таблица1[Дата]=Лист1!A232)*(Таблица1[Территория]=Лист1!C232),0))</f>
        <v>938</v>
      </c>
    </row>
    <row r="233" spans="1:10" x14ac:dyDescent="0.3">
      <c r="A233" s="15">
        <v>43956</v>
      </c>
      <c r="B233" s="36">
        <f t="shared" si="3"/>
        <v>19</v>
      </c>
      <c r="C233" s="16" t="s">
        <v>12</v>
      </c>
      <c r="D233" s="26">
        <v>15987</v>
      </c>
      <c r="E233" s="30">
        <v>1384179</v>
      </c>
      <c r="F233" s="30">
        <v>1116620.7919999999</v>
      </c>
      <c r="G233" s="31">
        <v>220298.15353846154</v>
      </c>
      <c r="H233" s="26" cm="1">
        <f t="array" ref="H233">INDEX(Таблица1[Количество складов],MATCH(1,(Таблица1[Дата]=Лист1!A233)*(Таблица1[Территория]=Лист1!C233),0))</f>
        <v>15</v>
      </c>
      <c r="I233" s="26" cm="1">
        <f t="array" ref="I233">INDEX(Таблица1[Количество заказов],MATCH(1,(Таблица1[Дата]=Лист1!A233)*(Таблица1[Территория]=Лист1!C233),0))</f>
        <v>922</v>
      </c>
      <c r="J233" s="26" cm="1">
        <f t="array" ref="J233">INDEX(Таблица1[Количество клиентов],MATCH(1,(Таблица1[Дата]=Лист1!A233)*(Таблица1[Территория]=Лист1!C233),0))</f>
        <v>823</v>
      </c>
    </row>
    <row r="234" spans="1:10" x14ac:dyDescent="0.3">
      <c r="A234" s="13">
        <v>43949</v>
      </c>
      <c r="B234" s="35">
        <f t="shared" si="3"/>
        <v>18</v>
      </c>
      <c r="C234" s="14" t="s">
        <v>12</v>
      </c>
      <c r="D234" s="25">
        <v>13303.5</v>
      </c>
      <c r="E234" s="28">
        <v>1102887</v>
      </c>
      <c r="F234" s="28">
        <v>914116.79200000002</v>
      </c>
      <c r="G234" s="29">
        <v>173095.92049999998</v>
      </c>
      <c r="H234" s="25" cm="1">
        <f t="array" ref="H234">INDEX(Таблица1[Количество складов],MATCH(1,(Таблица1[Дата]=Лист1!A234)*(Таблица1[Территория]=Лист1!C234),0))</f>
        <v>15</v>
      </c>
      <c r="I234" s="25" cm="1">
        <f t="array" ref="I234">INDEX(Таблица1[Количество заказов],MATCH(1,(Таблица1[Дата]=Лист1!A234)*(Таблица1[Территория]=Лист1!C234),0))</f>
        <v>780</v>
      </c>
      <c r="J234" s="25" cm="1">
        <f t="array" ref="J234">INDEX(Таблица1[Количество клиентов],MATCH(1,(Таблица1[Дата]=Лист1!A234)*(Таблица1[Территория]=Лист1!C234),0))</f>
        <v>690</v>
      </c>
    </row>
    <row r="235" spans="1:10" x14ac:dyDescent="0.3">
      <c r="A235" s="15">
        <v>43964</v>
      </c>
      <c r="B235" s="36">
        <f t="shared" si="3"/>
        <v>20</v>
      </c>
      <c r="C235" s="16" t="s">
        <v>12</v>
      </c>
      <c r="D235" s="26">
        <v>14305.5</v>
      </c>
      <c r="E235" s="30">
        <v>1243507.5</v>
      </c>
      <c r="F235" s="30">
        <v>987216.74099999992</v>
      </c>
      <c r="G235" s="31">
        <v>233030.6</v>
      </c>
      <c r="H235" s="26" cm="1">
        <f t="array" ref="H235">INDEX(Таблица1[Количество складов],MATCH(1,(Таблица1[Дата]=Лист1!A235)*(Таблица1[Территория]=Лист1!C235),0))</f>
        <v>15</v>
      </c>
      <c r="I235" s="26" cm="1">
        <f t="array" ref="I235">INDEX(Таблица1[Количество заказов],MATCH(1,(Таблица1[Дата]=Лист1!A235)*(Таблица1[Территория]=Лист1!C235),0))</f>
        <v>898</v>
      </c>
      <c r="J235" s="26" cm="1">
        <f t="array" ref="J235">INDEX(Таблица1[Количество клиентов],MATCH(1,(Таблица1[Дата]=Лист1!A235)*(Таблица1[Территория]=Лист1!C235),0))</f>
        <v>795</v>
      </c>
    </row>
    <row r="236" spans="1:10" x14ac:dyDescent="0.3">
      <c r="A236" s="13">
        <v>43954</v>
      </c>
      <c r="B236" s="35">
        <f t="shared" si="3"/>
        <v>18</v>
      </c>
      <c r="C236" s="14" t="s">
        <v>12</v>
      </c>
      <c r="D236" s="25">
        <v>12924</v>
      </c>
      <c r="E236" s="28">
        <v>1120009.5</v>
      </c>
      <c r="F236" s="28">
        <v>902752.71699999995</v>
      </c>
      <c r="G236" s="29">
        <v>193184.6</v>
      </c>
      <c r="H236" s="25" cm="1">
        <f t="array" ref="H236">INDEX(Таблица1[Количество складов],MATCH(1,(Таблица1[Дата]=Лист1!A236)*(Таблица1[Территория]=Лист1!C236),0))</f>
        <v>15</v>
      </c>
      <c r="I236" s="25" cm="1">
        <f t="array" ref="I236">INDEX(Таблица1[Количество заказов],MATCH(1,(Таблица1[Дата]=Лист1!A236)*(Таблица1[Территория]=Лист1!C236),0))</f>
        <v>784</v>
      </c>
      <c r="J236" s="25" cm="1">
        <f t="array" ref="J236">INDEX(Таблица1[Количество клиентов],MATCH(1,(Таблица1[Дата]=Лист1!A236)*(Таблица1[Территория]=Лист1!C236),0))</f>
        <v>696</v>
      </c>
    </row>
    <row r="237" spans="1:10" x14ac:dyDescent="0.3">
      <c r="A237" s="15">
        <v>43957</v>
      </c>
      <c r="B237" s="36">
        <f t="shared" si="3"/>
        <v>19</v>
      </c>
      <c r="C237" s="16" t="s">
        <v>12</v>
      </c>
      <c r="D237" s="26">
        <v>14061</v>
      </c>
      <c r="E237" s="30">
        <v>1221057</v>
      </c>
      <c r="F237" s="30">
        <v>983096.41700000002</v>
      </c>
      <c r="G237" s="31">
        <v>373408.83343076921</v>
      </c>
      <c r="H237" s="26" cm="1">
        <f t="array" ref="H237">INDEX(Таблица1[Количество складов],MATCH(1,(Таблица1[Дата]=Лист1!A237)*(Таблица1[Территория]=Лист1!C237),0))</f>
        <v>15</v>
      </c>
      <c r="I237" s="26" cm="1">
        <f t="array" ref="I237">INDEX(Таблица1[Количество заказов],MATCH(1,(Таблица1[Дата]=Лист1!A237)*(Таблица1[Территория]=Лист1!C237),0))</f>
        <v>839</v>
      </c>
      <c r="J237" s="26" cm="1">
        <f t="array" ref="J237">INDEX(Таблица1[Количество клиентов],MATCH(1,(Таблица1[Дата]=Лист1!A237)*(Таблица1[Территория]=Лист1!C237),0))</f>
        <v>733</v>
      </c>
    </row>
    <row r="238" spans="1:10" x14ac:dyDescent="0.3">
      <c r="A238" s="13">
        <v>43974</v>
      </c>
      <c r="B238" s="35">
        <f t="shared" si="3"/>
        <v>21</v>
      </c>
      <c r="C238" s="14" t="s">
        <v>12</v>
      </c>
      <c r="D238" s="25">
        <v>21958.5</v>
      </c>
      <c r="E238" s="28">
        <v>1854001.5</v>
      </c>
      <c r="F238" s="28">
        <v>1515956.368</v>
      </c>
      <c r="G238" s="29">
        <v>206787.93638461537</v>
      </c>
      <c r="H238" s="25" cm="1">
        <f t="array" ref="H238">INDEX(Таблица1[Количество складов],MATCH(1,(Таблица1[Дата]=Лист1!A238)*(Таблица1[Территория]=Лист1!C238),0))</f>
        <v>17</v>
      </c>
      <c r="I238" s="25" cm="1">
        <f t="array" ref="I238">INDEX(Таблица1[Количество заказов],MATCH(1,(Таблица1[Дата]=Лист1!A238)*(Таблица1[Территория]=Лист1!C238),0))</f>
        <v>1294</v>
      </c>
      <c r="J238" s="25" cm="1">
        <f t="array" ref="J238">INDEX(Таблица1[Количество клиентов],MATCH(1,(Таблица1[Дата]=Лист1!A238)*(Таблица1[Территория]=Лист1!C238),0))</f>
        <v>1155</v>
      </c>
    </row>
    <row r="239" spans="1:10" x14ac:dyDescent="0.3">
      <c r="A239" s="15">
        <v>43976</v>
      </c>
      <c r="B239" s="36">
        <f t="shared" si="3"/>
        <v>22</v>
      </c>
      <c r="C239" s="16" t="s">
        <v>12</v>
      </c>
      <c r="D239" s="26">
        <v>17211</v>
      </c>
      <c r="E239" s="30">
        <v>1507867.5</v>
      </c>
      <c r="F239" s="30">
        <v>1217527.6069999998</v>
      </c>
      <c r="G239" s="31">
        <v>246242.8615384615</v>
      </c>
      <c r="H239" s="26" cm="1">
        <f t="array" ref="H239">INDEX(Таблица1[Количество складов],MATCH(1,(Таблица1[Дата]=Лист1!A239)*(Таблица1[Территория]=Лист1!C239),0))</f>
        <v>17</v>
      </c>
      <c r="I239" s="26" cm="1">
        <f t="array" ref="I239">INDEX(Таблица1[Количество заказов],MATCH(1,(Таблица1[Дата]=Лист1!A239)*(Таблица1[Территория]=Лист1!C239),0))</f>
        <v>1142</v>
      </c>
      <c r="J239" s="26" cm="1">
        <f t="array" ref="J239">INDEX(Таблица1[Количество клиентов],MATCH(1,(Таблица1[Дата]=Лист1!A239)*(Таблица1[Территория]=Лист1!C239),0))</f>
        <v>1020</v>
      </c>
    </row>
    <row r="240" spans="1:10" x14ac:dyDescent="0.3">
      <c r="A240" s="13">
        <v>43951</v>
      </c>
      <c r="B240" s="35">
        <f t="shared" si="3"/>
        <v>18</v>
      </c>
      <c r="C240" s="14" t="s">
        <v>12</v>
      </c>
      <c r="D240" s="25">
        <v>12753</v>
      </c>
      <c r="E240" s="28">
        <v>1103068.5</v>
      </c>
      <c r="F240" s="28">
        <v>904501.45600000001</v>
      </c>
      <c r="G240" s="29">
        <v>58978.558669230762</v>
      </c>
      <c r="H240" s="25" cm="1">
        <f t="array" ref="H240">INDEX(Таблица1[Количество складов],MATCH(1,(Таблица1[Дата]=Лист1!A240)*(Таблица1[Территория]=Лист1!C240),0))</f>
        <v>15</v>
      </c>
      <c r="I240" s="25" cm="1">
        <f t="array" ref="I240">INDEX(Таблица1[Количество заказов],MATCH(1,(Таблица1[Дата]=Лист1!A240)*(Таблица1[Территория]=Лист1!C240),0))</f>
        <v>791</v>
      </c>
      <c r="J240" s="25" cm="1">
        <f t="array" ref="J240">INDEX(Таблица1[Количество клиентов],MATCH(1,(Таблица1[Дата]=Лист1!A240)*(Таблица1[Территория]=Лист1!C240),0))</f>
        <v>691</v>
      </c>
    </row>
    <row r="241" spans="1:10" x14ac:dyDescent="0.3">
      <c r="A241" s="15">
        <v>43961</v>
      </c>
      <c r="B241" s="36">
        <f t="shared" si="3"/>
        <v>19</v>
      </c>
      <c r="C241" s="16" t="s">
        <v>12</v>
      </c>
      <c r="D241" s="26">
        <v>16435.5</v>
      </c>
      <c r="E241" s="30">
        <v>1471537.5</v>
      </c>
      <c r="F241" s="30">
        <v>1176721.1640000001</v>
      </c>
      <c r="G241" s="31">
        <v>252262.82307692306</v>
      </c>
      <c r="H241" s="26" cm="1">
        <f t="array" ref="H241">INDEX(Таблица1[Количество складов],MATCH(1,(Таблица1[Дата]=Лист1!A241)*(Таблица1[Территория]=Лист1!C241),0))</f>
        <v>15</v>
      </c>
      <c r="I241" s="26" cm="1">
        <f t="array" ref="I241">INDEX(Таблица1[Количество заказов],MATCH(1,(Таблица1[Дата]=Лист1!A241)*(Таблица1[Территория]=Лист1!C241),0))</f>
        <v>950</v>
      </c>
      <c r="J241" s="26" cm="1">
        <f t="array" ref="J241">INDEX(Таблица1[Количество клиентов],MATCH(1,(Таблица1[Дата]=Лист1!A241)*(Таблица1[Территория]=Лист1!C241),0))</f>
        <v>848</v>
      </c>
    </row>
    <row r="242" spans="1:10" x14ac:dyDescent="0.3">
      <c r="A242" s="13">
        <v>43959</v>
      </c>
      <c r="B242" s="35">
        <f t="shared" si="3"/>
        <v>19</v>
      </c>
      <c r="C242" s="14" t="s">
        <v>12</v>
      </c>
      <c r="D242" s="25">
        <v>14494.5</v>
      </c>
      <c r="E242" s="28">
        <v>1269786</v>
      </c>
      <c r="F242" s="28">
        <v>1018857.6680000001</v>
      </c>
      <c r="G242" s="29">
        <v>197493.53076923077</v>
      </c>
      <c r="H242" s="25" cm="1">
        <f t="array" ref="H242">INDEX(Таблица1[Количество складов],MATCH(1,(Таблица1[Дата]=Лист1!A242)*(Таблица1[Территория]=Лист1!C242),0))</f>
        <v>15</v>
      </c>
      <c r="I242" s="25" cm="1">
        <f t="array" ref="I242">INDEX(Таблица1[Количество заказов],MATCH(1,(Таблица1[Дата]=Лист1!A242)*(Таблица1[Территория]=Лист1!C242),0))</f>
        <v>879</v>
      </c>
      <c r="J242" s="25" cm="1">
        <f t="array" ref="J242">INDEX(Таблица1[Количество клиентов],MATCH(1,(Таблица1[Дата]=Лист1!A242)*(Таблица1[Территория]=Лист1!C242),0))</f>
        <v>768</v>
      </c>
    </row>
    <row r="243" spans="1:10" x14ac:dyDescent="0.3">
      <c r="A243" s="15">
        <v>43958</v>
      </c>
      <c r="B243" s="36">
        <f t="shared" si="3"/>
        <v>19</v>
      </c>
      <c r="C243" s="16" t="s">
        <v>12</v>
      </c>
      <c r="D243" s="26">
        <v>12705</v>
      </c>
      <c r="E243" s="30">
        <v>1123894.5</v>
      </c>
      <c r="F243" s="30">
        <v>898508.49699999997</v>
      </c>
      <c r="G243" s="31">
        <v>273904.81530769228</v>
      </c>
      <c r="H243" s="26" cm="1">
        <f t="array" ref="H243">INDEX(Таблица1[Количество складов],MATCH(1,(Таблица1[Дата]=Лист1!A243)*(Таблица1[Территория]=Лист1!C243),0))</f>
        <v>15</v>
      </c>
      <c r="I243" s="26" cm="1">
        <f t="array" ref="I243">INDEX(Таблица1[Количество заказов],MATCH(1,(Таблица1[Дата]=Лист1!A243)*(Таблица1[Территория]=Лист1!C243),0))</f>
        <v>805</v>
      </c>
      <c r="J243" s="26" cm="1">
        <f t="array" ref="J243">INDEX(Таблица1[Количество клиентов],MATCH(1,(Таблица1[Дата]=Лист1!A243)*(Таблица1[Территория]=Лист1!C243),0))</f>
        <v>703</v>
      </c>
    </row>
    <row r="244" spans="1:10" x14ac:dyDescent="0.3">
      <c r="A244" s="13">
        <v>43975</v>
      </c>
      <c r="B244" s="35">
        <f t="shared" si="3"/>
        <v>21</v>
      </c>
      <c r="C244" s="14" t="s">
        <v>12</v>
      </c>
      <c r="D244" s="25">
        <v>18075</v>
      </c>
      <c r="E244" s="28">
        <v>1548099</v>
      </c>
      <c r="F244" s="28">
        <v>1256993.4810000001</v>
      </c>
      <c r="G244" s="29">
        <v>213288.93846153846</v>
      </c>
      <c r="H244" s="25" cm="1">
        <f t="array" ref="H244">INDEX(Таблица1[Количество складов],MATCH(1,(Таблица1[Дата]=Лист1!A244)*(Таблица1[Территория]=Лист1!C244),0))</f>
        <v>17</v>
      </c>
      <c r="I244" s="25" cm="1">
        <f t="array" ref="I244">INDEX(Таблица1[Количество заказов],MATCH(1,(Таблица1[Дата]=Лист1!A244)*(Таблица1[Территория]=Лист1!C244),0))</f>
        <v>1128</v>
      </c>
      <c r="J244" s="25" cm="1">
        <f t="array" ref="J244">INDEX(Таблица1[Количество клиентов],MATCH(1,(Таблица1[Дата]=Лист1!A244)*(Таблица1[Территория]=Лист1!C244),0))</f>
        <v>1001</v>
      </c>
    </row>
    <row r="245" spans="1:10" x14ac:dyDescent="0.3">
      <c r="A245" s="15">
        <v>43967</v>
      </c>
      <c r="B245" s="36">
        <f t="shared" si="3"/>
        <v>20</v>
      </c>
      <c r="C245" s="16" t="s">
        <v>13</v>
      </c>
      <c r="D245" s="26">
        <v>13120.5</v>
      </c>
      <c r="E245" s="30">
        <v>1215033</v>
      </c>
      <c r="F245" s="30">
        <v>985281.03599999985</v>
      </c>
      <c r="G245" s="31">
        <v>143418.86295384614</v>
      </c>
      <c r="H245" s="26" cm="1">
        <f t="array" ref="H245">INDEX(Таблица1[Количество складов],MATCH(1,(Таблица1[Дата]=Лист1!A245)*(Таблица1[Территория]=Лист1!C245),0))</f>
        <v>15</v>
      </c>
      <c r="I245" s="26" cm="1">
        <f t="array" ref="I245">INDEX(Таблица1[Количество заказов],MATCH(1,(Таблица1[Дата]=Лист1!A245)*(Таблица1[Территория]=Лист1!C245),0))</f>
        <v>747</v>
      </c>
      <c r="J245" s="26" cm="1">
        <f t="array" ref="J245">INDEX(Таблица1[Количество клиентов],MATCH(1,(Таблица1[Дата]=Лист1!A245)*(Таблица1[Территория]=Лист1!C245),0))</f>
        <v>647</v>
      </c>
    </row>
    <row r="246" spans="1:10" x14ac:dyDescent="0.3">
      <c r="A246" s="13">
        <v>43970</v>
      </c>
      <c r="B246" s="35">
        <f t="shared" si="3"/>
        <v>21</v>
      </c>
      <c r="C246" s="14" t="s">
        <v>13</v>
      </c>
      <c r="D246" s="25">
        <v>16237.5</v>
      </c>
      <c r="E246" s="28">
        <v>1403047.5</v>
      </c>
      <c r="F246" s="28">
        <v>1195875.8800000001</v>
      </c>
      <c r="G246" s="29">
        <v>173178.52204615384</v>
      </c>
      <c r="H246" s="25" cm="1">
        <f t="array" ref="H246">INDEX(Таблица1[Количество складов],MATCH(1,(Таблица1[Дата]=Лист1!A246)*(Таблица1[Территория]=Лист1!C246),0))</f>
        <v>15</v>
      </c>
      <c r="I246" s="25" cm="1">
        <f t="array" ref="I246">INDEX(Таблица1[Количество заказов],MATCH(1,(Таблица1[Дата]=Лист1!A246)*(Таблица1[Территория]=Лист1!C246),0))</f>
        <v>930</v>
      </c>
      <c r="J246" s="25" cm="1">
        <f t="array" ref="J246">INDEX(Таблица1[Количество клиентов],MATCH(1,(Таблица1[Дата]=Лист1!A246)*(Таблица1[Территория]=Лист1!C246),0))</f>
        <v>827</v>
      </c>
    </row>
    <row r="247" spans="1:10" x14ac:dyDescent="0.3">
      <c r="A247" s="15">
        <v>43968</v>
      </c>
      <c r="B247" s="36">
        <f t="shared" si="3"/>
        <v>20</v>
      </c>
      <c r="C247" s="16" t="s">
        <v>13</v>
      </c>
      <c r="D247" s="26">
        <v>11967</v>
      </c>
      <c r="E247" s="30">
        <v>1060489.5</v>
      </c>
      <c r="F247" s="30">
        <v>851805.179</v>
      </c>
      <c r="G247" s="31">
        <v>171981.49101538458</v>
      </c>
      <c r="H247" s="26" cm="1">
        <f t="array" ref="H247">INDEX(Таблица1[Количество складов],MATCH(1,(Таблица1[Дата]=Лист1!A247)*(Таблица1[Территория]=Лист1!C247),0))</f>
        <v>15</v>
      </c>
      <c r="I247" s="26" cm="1">
        <f t="array" ref="I247">INDEX(Таблица1[Количество заказов],MATCH(1,(Таблица1[Дата]=Лист1!A247)*(Таблица1[Территория]=Лист1!C247),0))</f>
        <v>692</v>
      </c>
      <c r="J247" s="26" cm="1">
        <f t="array" ref="J247">INDEX(Таблица1[Количество клиентов],MATCH(1,(Таблица1[Дата]=Лист1!A247)*(Таблица1[Территория]=Лист1!C247),0))</f>
        <v>591</v>
      </c>
    </row>
    <row r="248" spans="1:10" x14ac:dyDescent="0.3">
      <c r="A248" s="13">
        <v>43960</v>
      </c>
      <c r="B248" s="35">
        <f t="shared" si="3"/>
        <v>19</v>
      </c>
      <c r="C248" s="14" t="s">
        <v>13</v>
      </c>
      <c r="D248" s="25">
        <v>12037.5</v>
      </c>
      <c r="E248" s="28">
        <v>1081216.5</v>
      </c>
      <c r="F248" s="28">
        <v>910141.15500000003</v>
      </c>
      <c r="G248" s="29">
        <v>143296.04318461538</v>
      </c>
      <c r="H248" s="25" cm="1">
        <f t="array" ref="H248">INDEX(Таблица1[Количество складов],MATCH(1,(Таблица1[Дата]=Лист1!A248)*(Таблица1[Территория]=Лист1!C248),0))</f>
        <v>15</v>
      </c>
      <c r="I248" s="25" cm="1">
        <f t="array" ref="I248">INDEX(Таблица1[Количество заказов],MATCH(1,(Таблица1[Дата]=Лист1!A248)*(Таблица1[Территория]=Лист1!C248),0))</f>
        <v>623</v>
      </c>
      <c r="J248" s="25" cm="1">
        <f t="array" ref="J248">INDEX(Таблица1[Количество клиентов],MATCH(1,(Таблица1[Дата]=Лист1!A248)*(Таблица1[Территория]=Лист1!C248),0))</f>
        <v>535</v>
      </c>
    </row>
    <row r="249" spans="1:10" x14ac:dyDescent="0.3">
      <c r="A249" s="15">
        <v>43955</v>
      </c>
      <c r="B249" s="36">
        <f t="shared" si="3"/>
        <v>19</v>
      </c>
      <c r="C249" s="16" t="s">
        <v>13</v>
      </c>
      <c r="D249" s="26">
        <v>7087.5</v>
      </c>
      <c r="E249" s="30">
        <v>610855.5</v>
      </c>
      <c r="F249" s="30">
        <v>541946.12800000003</v>
      </c>
      <c r="G249" s="31">
        <v>150795.58461538461</v>
      </c>
      <c r="H249" s="26" cm="1">
        <f t="array" ref="H249">INDEX(Таблица1[Количество складов],MATCH(1,(Таблица1[Дата]=Лист1!A249)*(Таблица1[Территория]=Лист1!C249),0))</f>
        <v>15</v>
      </c>
      <c r="I249" s="26" cm="1">
        <f t="array" ref="I249">INDEX(Таблица1[Количество заказов],MATCH(1,(Таблица1[Дата]=Лист1!A249)*(Таблица1[Территория]=Лист1!C249),0))</f>
        <v>390</v>
      </c>
      <c r="J249" s="26" cm="1">
        <f t="array" ref="J249">INDEX(Таблица1[Количество клиентов],MATCH(1,(Таблица1[Дата]=Лист1!A249)*(Таблица1[Территория]=Лист1!C249),0))</f>
        <v>315</v>
      </c>
    </row>
    <row r="250" spans="1:10" x14ac:dyDescent="0.3">
      <c r="A250" s="13">
        <v>43950</v>
      </c>
      <c r="B250" s="35">
        <f t="shared" si="3"/>
        <v>18</v>
      </c>
      <c r="C250" s="14" t="s">
        <v>7</v>
      </c>
      <c r="D250" s="25">
        <v>25816.5</v>
      </c>
      <c r="E250" s="28">
        <v>2360914.5</v>
      </c>
      <c r="F250" s="28">
        <v>1868643.6719999998</v>
      </c>
      <c r="G250" s="29">
        <v>137636.84266153845</v>
      </c>
      <c r="H250" s="25" cm="1">
        <f t="array" ref="H250">INDEX(Таблица1[Количество складов],MATCH(1,(Таблица1[Дата]=Лист1!A250)*(Таблица1[Территория]=Лист1!C250),0))</f>
        <v>18</v>
      </c>
      <c r="I250" s="25" cm="1">
        <f t="array" ref="I250">INDEX(Таблица1[Количество заказов],MATCH(1,(Таблица1[Дата]=Лист1!A250)*(Таблица1[Территория]=Лист1!C250),0))</f>
        <v>1599</v>
      </c>
      <c r="J250" s="25" cm="1">
        <f t="array" ref="J250">INDEX(Таблица1[Количество клиентов],MATCH(1,(Таблица1[Дата]=Лист1!A250)*(Таблица1[Территория]=Лист1!C250),0))</f>
        <v>1450</v>
      </c>
    </row>
    <row r="251" spans="1:10" x14ac:dyDescent="0.3">
      <c r="A251" s="15">
        <v>43953</v>
      </c>
      <c r="B251" s="36">
        <f t="shared" si="3"/>
        <v>18</v>
      </c>
      <c r="C251" s="16" t="s">
        <v>13</v>
      </c>
      <c r="D251" s="26">
        <v>4624.5</v>
      </c>
      <c r="E251" s="30">
        <v>433243.5</v>
      </c>
      <c r="F251" s="30">
        <v>377401.46199999994</v>
      </c>
      <c r="G251" s="31">
        <v>65936.343369230759</v>
      </c>
      <c r="H251" s="26" cm="1">
        <f t="array" ref="H251">INDEX(Таблица1[Количество складов],MATCH(1,(Таблица1[Дата]=Лист1!A251)*(Таблица1[Территория]=Лист1!C251),0))</f>
        <v>15</v>
      </c>
      <c r="I251" s="26" cm="1">
        <f t="array" ref="I251">INDEX(Таблица1[Количество заказов],MATCH(1,(Таблица1[Дата]=Лист1!A251)*(Таблица1[Территория]=Лист1!C251),0))</f>
        <v>274</v>
      </c>
      <c r="J251" s="26" cm="1">
        <f t="array" ref="J251">INDEX(Таблица1[Количество клиентов],MATCH(1,(Таблица1[Дата]=Лист1!A251)*(Таблица1[Территория]=Лист1!C251),0))</f>
        <v>203</v>
      </c>
    </row>
    <row r="252" spans="1:10" x14ac:dyDescent="0.3">
      <c r="A252" s="13">
        <v>43977</v>
      </c>
      <c r="B252" s="35">
        <f t="shared" si="3"/>
        <v>22</v>
      </c>
      <c r="C252" s="14" t="s">
        <v>13</v>
      </c>
      <c r="D252" s="25">
        <v>12259.5</v>
      </c>
      <c r="E252" s="28">
        <v>1152054</v>
      </c>
      <c r="F252" s="28">
        <v>906579.62099999993</v>
      </c>
      <c r="G252" s="29">
        <v>217611.18753846153</v>
      </c>
      <c r="H252" s="25" cm="1">
        <f t="array" ref="H252">INDEX(Таблица1[Количество складов],MATCH(1,(Таблица1[Дата]=Лист1!A252)*(Таблица1[Территория]=Лист1!C252),0))</f>
        <v>15</v>
      </c>
      <c r="I252" s="25" cm="1">
        <f t="array" ref="I252">INDEX(Таблица1[Количество заказов],MATCH(1,(Таблица1[Дата]=Лист1!A252)*(Таблица1[Территория]=Лист1!C252),0))</f>
        <v>812</v>
      </c>
      <c r="J252" s="25" cm="1">
        <f t="array" ref="J252">INDEX(Таблица1[Количество клиентов],MATCH(1,(Таблица1[Дата]=Лист1!A252)*(Таблица1[Территория]=Лист1!C252),0))</f>
        <v>711</v>
      </c>
    </row>
    <row r="253" spans="1:10" x14ac:dyDescent="0.3">
      <c r="A253" s="15">
        <v>43952</v>
      </c>
      <c r="B253" s="36">
        <f t="shared" si="3"/>
        <v>18</v>
      </c>
      <c r="C253" s="16" t="s">
        <v>13</v>
      </c>
      <c r="D253" s="26">
        <v>5446.5</v>
      </c>
      <c r="E253" s="30">
        <v>505572</v>
      </c>
      <c r="F253" s="30">
        <v>422390.908</v>
      </c>
      <c r="G253" s="31">
        <v>42729.218369230766</v>
      </c>
      <c r="H253" s="26" cm="1">
        <f t="array" ref="H253">INDEX(Таблица1[Количество складов],MATCH(1,(Таблица1[Дата]=Лист1!A253)*(Таблица1[Территория]=Лист1!C253),0))</f>
        <v>15</v>
      </c>
      <c r="I253" s="26" cm="1">
        <f t="array" ref="I253">INDEX(Таблица1[Количество заказов],MATCH(1,(Таблица1[Дата]=Лист1!A253)*(Таблица1[Территория]=Лист1!C253),0))</f>
        <v>294</v>
      </c>
      <c r="J253" s="26" cm="1">
        <f t="array" ref="J253">INDEX(Таблица1[Количество клиентов],MATCH(1,(Таблица1[Дата]=Лист1!A253)*(Таблица1[Территория]=Лист1!C253),0))</f>
        <v>225</v>
      </c>
    </row>
    <row r="254" spans="1:10" x14ac:dyDescent="0.3">
      <c r="A254" s="13">
        <v>43963</v>
      </c>
      <c r="B254" s="35">
        <f t="shared" si="3"/>
        <v>20</v>
      </c>
      <c r="C254" s="14" t="s">
        <v>13</v>
      </c>
      <c r="D254" s="25">
        <v>11296.5</v>
      </c>
      <c r="E254" s="28">
        <v>989632.5</v>
      </c>
      <c r="F254" s="28">
        <v>829947.41200000001</v>
      </c>
      <c r="G254" s="29">
        <v>196319.5046923077</v>
      </c>
      <c r="H254" s="25" cm="1">
        <f t="array" ref="H254">INDEX(Таблица1[Количество складов],MATCH(1,(Таблица1[Дата]=Лист1!A254)*(Таблица1[Территория]=Лист1!C254),0))</f>
        <v>15</v>
      </c>
      <c r="I254" s="25" cm="1">
        <f t="array" ref="I254">INDEX(Таблица1[Количество заказов],MATCH(1,(Таблица1[Дата]=Лист1!A254)*(Таблица1[Территория]=Лист1!C254),0))</f>
        <v>624</v>
      </c>
      <c r="J254" s="25" cm="1">
        <f t="array" ref="J254">INDEX(Таблица1[Количество клиентов],MATCH(1,(Таблица1[Дата]=Лист1!A254)*(Таблица1[Территория]=Лист1!C254),0))</f>
        <v>538</v>
      </c>
    </row>
    <row r="255" spans="1:10" x14ac:dyDescent="0.3">
      <c r="A255" s="15">
        <v>43972</v>
      </c>
      <c r="B255" s="36">
        <f t="shared" si="3"/>
        <v>21</v>
      </c>
      <c r="C255" s="16" t="s">
        <v>13</v>
      </c>
      <c r="D255" s="26">
        <v>12135</v>
      </c>
      <c r="E255" s="30">
        <v>1103623.5</v>
      </c>
      <c r="F255" s="30">
        <v>899589.3060000001</v>
      </c>
      <c r="G255" s="31">
        <v>184440.53076923077</v>
      </c>
      <c r="H255" s="26" cm="1">
        <f t="array" ref="H255">INDEX(Таблица1[Количество складов],MATCH(1,(Таблица1[Дата]=Лист1!A255)*(Таблица1[Территория]=Лист1!C255),0))</f>
        <v>15</v>
      </c>
      <c r="I255" s="26" cm="1">
        <f t="array" ref="I255">INDEX(Таблица1[Количество заказов],MATCH(1,(Таблица1[Дата]=Лист1!A255)*(Таблица1[Территория]=Лист1!C255),0))</f>
        <v>749</v>
      </c>
      <c r="J255" s="26" cm="1">
        <f t="array" ref="J255">INDEX(Таблица1[Количество клиентов],MATCH(1,(Таблица1[Дата]=Лист1!A255)*(Таблица1[Территория]=Лист1!C255),0))</f>
        <v>652</v>
      </c>
    </row>
    <row r="256" spans="1:10" x14ac:dyDescent="0.3">
      <c r="A256" s="13">
        <v>43971</v>
      </c>
      <c r="B256" s="35">
        <f t="shared" si="3"/>
        <v>21</v>
      </c>
      <c r="C256" s="14" t="s">
        <v>13</v>
      </c>
      <c r="D256" s="25">
        <v>12630</v>
      </c>
      <c r="E256" s="28">
        <v>1104858</v>
      </c>
      <c r="F256" s="28">
        <v>915994.11899999983</v>
      </c>
      <c r="G256" s="29">
        <v>161654.46923076923</v>
      </c>
      <c r="H256" s="25" cm="1">
        <f t="array" ref="H256">INDEX(Таблица1[Количество складов],MATCH(1,(Таблица1[Дата]=Лист1!A256)*(Таблица1[Территория]=Лист1!C256),0))</f>
        <v>15</v>
      </c>
      <c r="I256" s="25" cm="1">
        <f t="array" ref="I256">INDEX(Таблица1[Количество заказов],MATCH(1,(Таблица1[Дата]=Лист1!A256)*(Таблица1[Территория]=Лист1!C256),0))</f>
        <v>760</v>
      </c>
      <c r="J256" s="25" cm="1">
        <f t="array" ref="J256">INDEX(Таблица1[Количество клиентов],MATCH(1,(Таблица1[Дата]=Лист1!A256)*(Таблица1[Территория]=Лист1!C256),0))</f>
        <v>664</v>
      </c>
    </row>
    <row r="257" spans="1:10" x14ac:dyDescent="0.3">
      <c r="A257" s="15">
        <v>43956</v>
      </c>
      <c r="B257" s="36">
        <f t="shared" si="3"/>
        <v>19</v>
      </c>
      <c r="C257" s="16" t="s">
        <v>13</v>
      </c>
      <c r="D257" s="26">
        <v>8223</v>
      </c>
      <c r="E257" s="30">
        <v>694593</v>
      </c>
      <c r="F257" s="30">
        <v>622755.04999999993</v>
      </c>
      <c r="G257" s="31">
        <v>172368.62218461538</v>
      </c>
      <c r="H257" s="26" cm="1">
        <f t="array" ref="H257">INDEX(Таблица1[Количество складов],MATCH(1,(Таблица1[Дата]=Лист1!A257)*(Таблица1[Территория]=Лист1!C257),0))</f>
        <v>15</v>
      </c>
      <c r="I257" s="26" cm="1">
        <f t="array" ref="I257">INDEX(Таблица1[Количество заказов],MATCH(1,(Таблица1[Дата]=Лист1!A257)*(Таблица1[Территория]=Лист1!C257),0))</f>
        <v>455</v>
      </c>
      <c r="J257" s="26" cm="1">
        <f t="array" ref="J257">INDEX(Таблица1[Количество клиентов],MATCH(1,(Таблица1[Дата]=Лист1!A257)*(Таблица1[Территория]=Лист1!C257),0))</f>
        <v>381</v>
      </c>
    </row>
    <row r="258" spans="1:10" x14ac:dyDescent="0.3">
      <c r="A258" s="13">
        <v>43949</v>
      </c>
      <c r="B258" s="35">
        <f t="shared" si="3"/>
        <v>18</v>
      </c>
      <c r="C258" s="14" t="s">
        <v>7</v>
      </c>
      <c r="D258" s="25">
        <v>25149</v>
      </c>
      <c r="E258" s="28">
        <v>2277072</v>
      </c>
      <c r="F258" s="28">
        <v>1804070.1239999998</v>
      </c>
      <c r="G258" s="29">
        <v>125553.02143076922</v>
      </c>
      <c r="H258" s="25" cm="1">
        <f t="array" ref="H258">INDEX(Таблица1[Количество складов],MATCH(1,(Таблица1[Дата]=Лист1!A258)*(Таблица1[Территория]=Лист1!C258),0))</f>
        <v>18</v>
      </c>
      <c r="I258" s="25" cm="1">
        <f t="array" ref="I258">INDEX(Таблица1[Количество заказов],MATCH(1,(Таблица1[Дата]=Лист1!A258)*(Таблица1[Территория]=Лист1!C258),0))</f>
        <v>1505</v>
      </c>
      <c r="J258" s="25" cm="1">
        <f t="array" ref="J258">INDEX(Таблица1[Количество клиентов],MATCH(1,(Таблица1[Дата]=Лист1!A258)*(Таблица1[Территория]=Лист1!C258),0))</f>
        <v>1368</v>
      </c>
    </row>
    <row r="259" spans="1:10" x14ac:dyDescent="0.3">
      <c r="A259" s="15">
        <v>43964</v>
      </c>
      <c r="B259" s="36">
        <f t="shared" ref="B259:B322" si="4">_xlfn.ISOWEEKNUM(A259)</f>
        <v>20</v>
      </c>
      <c r="C259" s="16" t="s">
        <v>13</v>
      </c>
      <c r="D259" s="26">
        <v>10401</v>
      </c>
      <c r="E259" s="30">
        <v>949912.5</v>
      </c>
      <c r="F259" s="30">
        <v>785961.28899999999</v>
      </c>
      <c r="G259" s="31">
        <v>253438.94004615385</v>
      </c>
      <c r="H259" s="26" cm="1">
        <f t="array" ref="H259">INDEX(Таблица1[Количество складов],MATCH(1,(Таблица1[Дата]=Лист1!A259)*(Таблица1[Территория]=Лист1!C259),0))</f>
        <v>15</v>
      </c>
      <c r="I259" s="26" cm="1">
        <f t="array" ref="I259">INDEX(Таблица1[Количество заказов],MATCH(1,(Таблица1[Дата]=Лист1!A259)*(Таблица1[Территория]=Лист1!C259),0))</f>
        <v>599</v>
      </c>
      <c r="J259" s="26" cm="1">
        <f t="array" ref="J259">INDEX(Таблица1[Количество клиентов],MATCH(1,(Таблица1[Дата]=Лист1!A259)*(Таблица1[Территория]=Лист1!C259),0))</f>
        <v>515</v>
      </c>
    </row>
    <row r="260" spans="1:10" x14ac:dyDescent="0.3">
      <c r="A260" s="13">
        <v>43982</v>
      </c>
      <c r="B260" s="35">
        <f t="shared" si="4"/>
        <v>22</v>
      </c>
      <c r="C260" s="14" t="s">
        <v>12</v>
      </c>
      <c r="D260" s="25">
        <v>17689.5</v>
      </c>
      <c r="E260" s="28">
        <v>1592119.5</v>
      </c>
      <c r="F260" s="28">
        <v>1279369.1529999999</v>
      </c>
      <c r="G260" s="29">
        <v>119890.85384615383</v>
      </c>
      <c r="H260" s="25" cm="1">
        <f t="array" ref="H260">INDEX(Таблица1[Количество складов],MATCH(1,(Таблица1[Дата]=Лист1!A260)*(Таблица1[Территория]=Лист1!C260),0))</f>
        <v>17</v>
      </c>
      <c r="I260" s="25" cm="1">
        <f t="array" ref="I260">INDEX(Таблица1[Количество заказов],MATCH(1,(Таблица1[Дата]=Лист1!A260)*(Таблица1[Территория]=Лист1!C260),0))</f>
        <v>1186</v>
      </c>
      <c r="J260" s="25" cm="1">
        <f t="array" ref="J260">INDEX(Таблица1[Количество клиентов],MATCH(1,(Таблица1[Дата]=Лист1!A260)*(Таблица1[Территория]=Лист1!C260),0))</f>
        <v>1054</v>
      </c>
    </row>
    <row r="261" spans="1:10" x14ac:dyDescent="0.3">
      <c r="A261" s="15">
        <v>43954</v>
      </c>
      <c r="B261" s="36">
        <f t="shared" si="4"/>
        <v>18</v>
      </c>
      <c r="C261" s="16" t="s">
        <v>13</v>
      </c>
      <c r="D261" s="26">
        <v>8127</v>
      </c>
      <c r="E261" s="30">
        <v>665302.5</v>
      </c>
      <c r="F261" s="30">
        <v>644221.49399999995</v>
      </c>
      <c r="G261" s="31">
        <v>95245.727138461531</v>
      </c>
      <c r="H261" s="26" cm="1">
        <f t="array" ref="H261">INDEX(Таблица1[Количество складов],MATCH(1,(Таблица1[Дата]=Лист1!A261)*(Таблица1[Территория]=Лист1!C261),0))</f>
        <v>15</v>
      </c>
      <c r="I261" s="26" cm="1">
        <f t="array" ref="I261">INDEX(Таблица1[Количество заказов],MATCH(1,(Таблица1[Дата]=Лист1!A261)*(Таблица1[Территория]=Лист1!C261),0))</f>
        <v>455</v>
      </c>
      <c r="J261" s="26" cm="1">
        <f t="array" ref="J261">INDEX(Таблица1[Количество клиентов],MATCH(1,(Таблица1[Дата]=Лист1!A261)*(Таблица1[Территория]=Лист1!C261),0))</f>
        <v>384</v>
      </c>
    </row>
    <row r="262" spans="1:10" x14ac:dyDescent="0.3">
      <c r="A262" s="13">
        <v>43981</v>
      </c>
      <c r="B262" s="35">
        <f t="shared" si="4"/>
        <v>22</v>
      </c>
      <c r="C262" s="14" t="s">
        <v>12</v>
      </c>
      <c r="D262" s="25">
        <v>27250.5</v>
      </c>
      <c r="E262" s="28">
        <v>2457252</v>
      </c>
      <c r="F262" s="28">
        <v>1983435.05</v>
      </c>
      <c r="G262" s="29">
        <v>175066.50692307693</v>
      </c>
      <c r="H262" s="25" cm="1">
        <f t="array" ref="H262">INDEX(Таблица1[Количество складов],MATCH(1,(Таблица1[Дата]=Лист1!A262)*(Таблица1[Территория]=Лист1!C262),0))</f>
        <v>17</v>
      </c>
      <c r="I262" s="25" cm="1">
        <f t="array" ref="I262">INDEX(Таблица1[Количество заказов],MATCH(1,(Таблица1[Дата]=Лист1!A262)*(Таблица1[Территория]=Лист1!C262),0))</f>
        <v>1697</v>
      </c>
      <c r="J262" s="25" cm="1">
        <f t="array" ref="J262">INDEX(Таблица1[Количество клиентов],MATCH(1,(Таблица1[Дата]=Лист1!A262)*(Таблица1[Территория]=Лист1!C262),0))</f>
        <v>1499</v>
      </c>
    </row>
    <row r="263" spans="1:10" x14ac:dyDescent="0.3">
      <c r="A263" s="15">
        <v>43957</v>
      </c>
      <c r="B263" s="36">
        <f t="shared" si="4"/>
        <v>19</v>
      </c>
      <c r="C263" s="16" t="s">
        <v>13</v>
      </c>
      <c r="D263" s="26">
        <v>8464.5</v>
      </c>
      <c r="E263" s="30">
        <v>739291.5</v>
      </c>
      <c r="F263" s="30">
        <v>651727.3679999999</v>
      </c>
      <c r="G263" s="31">
        <v>154318.62433846152</v>
      </c>
      <c r="H263" s="26" cm="1">
        <f t="array" ref="H263">INDEX(Таблица1[Количество складов],MATCH(1,(Таблица1[Дата]=Лист1!A263)*(Таблица1[Территория]=Лист1!C263),0))</f>
        <v>15</v>
      </c>
      <c r="I263" s="26" cm="1">
        <f t="array" ref="I263">INDEX(Таблица1[Количество заказов],MATCH(1,(Таблица1[Дата]=Лист1!A263)*(Таблица1[Территория]=Лист1!C263),0))</f>
        <v>467</v>
      </c>
      <c r="J263" s="26" cm="1">
        <f t="array" ref="J263">INDEX(Таблица1[Количество клиентов],MATCH(1,(Таблица1[Дата]=Лист1!A263)*(Таблица1[Территория]=Лист1!C263),0))</f>
        <v>389</v>
      </c>
    </row>
    <row r="264" spans="1:10" x14ac:dyDescent="0.3">
      <c r="A264" s="13">
        <v>43974</v>
      </c>
      <c r="B264" s="35">
        <f t="shared" si="4"/>
        <v>21</v>
      </c>
      <c r="C264" s="14" t="s">
        <v>13</v>
      </c>
      <c r="D264" s="25">
        <v>14167.5</v>
      </c>
      <c r="E264" s="28">
        <v>1315075.5</v>
      </c>
      <c r="F264" s="28">
        <v>1074904.135</v>
      </c>
      <c r="G264" s="29">
        <v>269233.34436923079</v>
      </c>
      <c r="H264" s="25" cm="1">
        <f t="array" ref="H264">INDEX(Таблица1[Количество складов],MATCH(1,(Таблица1[Дата]=Лист1!A264)*(Таблица1[Территория]=Лист1!C264),0))</f>
        <v>15</v>
      </c>
      <c r="I264" s="25" cm="1">
        <f t="array" ref="I264">INDEX(Таблица1[Количество заказов],MATCH(1,(Таблица1[Дата]=Лист1!A264)*(Таблица1[Территория]=Лист1!C264),0))</f>
        <v>840</v>
      </c>
      <c r="J264" s="25" cm="1">
        <f t="array" ref="J264">INDEX(Таблица1[Количество клиентов],MATCH(1,(Таблица1[Дата]=Лист1!A264)*(Таблица1[Территория]=Лист1!C264),0))</f>
        <v>725</v>
      </c>
    </row>
    <row r="265" spans="1:10" x14ac:dyDescent="0.3">
      <c r="A265" s="15">
        <v>43979</v>
      </c>
      <c r="B265" s="36">
        <f t="shared" si="4"/>
        <v>22</v>
      </c>
      <c r="C265" s="16" t="s">
        <v>12</v>
      </c>
      <c r="D265" s="26">
        <v>16500</v>
      </c>
      <c r="E265" s="30">
        <v>1487928</v>
      </c>
      <c r="F265" s="30">
        <v>1187884.8939999999</v>
      </c>
      <c r="G265" s="31">
        <v>279400.0153846154</v>
      </c>
      <c r="H265" s="26" cm="1">
        <f t="array" ref="H265">INDEX(Таблица1[Количество складов],MATCH(1,(Таблица1[Дата]=Лист1!A265)*(Таблица1[Территория]=Лист1!C265),0))</f>
        <v>17</v>
      </c>
      <c r="I265" s="26" cm="1">
        <f t="array" ref="I265">INDEX(Таблица1[Количество заказов],MATCH(1,(Таблица1[Дата]=Лист1!A265)*(Таблица1[Территория]=Лист1!C265),0))</f>
        <v>1097</v>
      </c>
      <c r="J265" s="26" cm="1">
        <f t="array" ref="J265">INDEX(Таблица1[Количество клиентов],MATCH(1,(Таблица1[Дата]=Лист1!A265)*(Таблица1[Территория]=Лист1!C265),0))</f>
        <v>968</v>
      </c>
    </row>
    <row r="266" spans="1:10" x14ac:dyDescent="0.3">
      <c r="A266" s="13">
        <v>43976</v>
      </c>
      <c r="B266" s="35">
        <f t="shared" si="4"/>
        <v>22</v>
      </c>
      <c r="C266" s="14" t="s">
        <v>13</v>
      </c>
      <c r="D266" s="25">
        <v>13260</v>
      </c>
      <c r="E266" s="28">
        <v>1230687</v>
      </c>
      <c r="F266" s="28">
        <v>985675.48699999996</v>
      </c>
      <c r="G266" s="29">
        <v>224353.45695384615</v>
      </c>
      <c r="H266" s="25" cm="1">
        <f t="array" ref="H266">INDEX(Таблица1[Количество складов],MATCH(1,(Таблица1[Дата]=Лист1!A266)*(Таблица1[Территория]=Лист1!C266),0))</f>
        <v>15</v>
      </c>
      <c r="I266" s="25" cm="1">
        <f t="array" ref="I266">INDEX(Таблица1[Количество заказов],MATCH(1,(Таблица1[Дата]=Лист1!A266)*(Таблица1[Территория]=Лист1!C266),0))</f>
        <v>835</v>
      </c>
      <c r="J266" s="25" cm="1">
        <f t="array" ref="J266">INDEX(Таблица1[Количество клиентов],MATCH(1,(Таблица1[Дата]=Лист1!A266)*(Таблица1[Территория]=Лист1!C266),0))</f>
        <v>736</v>
      </c>
    </row>
    <row r="267" spans="1:10" x14ac:dyDescent="0.3">
      <c r="A267" s="15">
        <v>43951</v>
      </c>
      <c r="B267" s="36">
        <f t="shared" si="4"/>
        <v>18</v>
      </c>
      <c r="C267" s="16" t="s">
        <v>13</v>
      </c>
      <c r="D267" s="26">
        <v>4285.5</v>
      </c>
      <c r="E267" s="30">
        <v>404691</v>
      </c>
      <c r="F267" s="30">
        <v>333054.54800000001</v>
      </c>
      <c r="G267" s="31">
        <v>11494.630769230769</v>
      </c>
      <c r="H267" s="26" cm="1">
        <f t="array" ref="H267">INDEX(Таблица1[Количество складов],MATCH(1,(Таблица1[Дата]=Лист1!A267)*(Таблица1[Территория]=Лист1!C267),0))</f>
        <v>15</v>
      </c>
      <c r="I267" s="26" cm="1">
        <f t="array" ref="I267">INDEX(Таблица1[Количество заказов],MATCH(1,(Таблица1[Дата]=Лист1!A267)*(Таблица1[Территория]=Лист1!C267),0))</f>
        <v>262</v>
      </c>
      <c r="J267" s="26" cm="1">
        <f t="array" ref="J267">INDEX(Таблица1[Количество клиентов],MATCH(1,(Таблица1[Дата]=Лист1!A267)*(Таблица1[Территория]=Лист1!C267),0))</f>
        <v>195</v>
      </c>
    </row>
    <row r="268" spans="1:10" x14ac:dyDescent="0.3">
      <c r="A268" s="13">
        <v>43961</v>
      </c>
      <c r="B268" s="35">
        <f t="shared" si="4"/>
        <v>19</v>
      </c>
      <c r="C268" s="14" t="s">
        <v>13</v>
      </c>
      <c r="D268" s="25">
        <v>13440</v>
      </c>
      <c r="E268" s="28">
        <v>1198285.5</v>
      </c>
      <c r="F268" s="28">
        <v>1018063.802</v>
      </c>
      <c r="G268" s="29">
        <v>178012.59307692308</v>
      </c>
      <c r="H268" s="25" cm="1">
        <f t="array" ref="H268">INDEX(Таблица1[Количество складов],MATCH(1,(Таблица1[Дата]=Лист1!A268)*(Таблица1[Территория]=Лист1!C268),0))</f>
        <v>15</v>
      </c>
      <c r="I268" s="25" cm="1">
        <f t="array" ref="I268">INDEX(Таблица1[Количество заказов],MATCH(1,(Таблица1[Дата]=Лист1!A268)*(Таблица1[Территория]=Лист1!C268),0))</f>
        <v>706</v>
      </c>
      <c r="J268" s="25" cm="1">
        <f t="array" ref="J268">INDEX(Таблица1[Количество клиентов],MATCH(1,(Таблица1[Дата]=Лист1!A268)*(Таблица1[Территория]=Лист1!C268),0))</f>
        <v>608</v>
      </c>
    </row>
    <row r="269" spans="1:10" x14ac:dyDescent="0.3">
      <c r="A269" s="15">
        <v>43959</v>
      </c>
      <c r="B269" s="36">
        <f t="shared" si="4"/>
        <v>19</v>
      </c>
      <c r="C269" s="16" t="s">
        <v>13</v>
      </c>
      <c r="D269" s="26">
        <v>9058.5</v>
      </c>
      <c r="E269" s="30">
        <v>798759</v>
      </c>
      <c r="F269" s="30">
        <v>669115.93699999992</v>
      </c>
      <c r="G269" s="31">
        <v>171987.47030000002</v>
      </c>
      <c r="H269" s="26" cm="1">
        <f t="array" ref="H269">INDEX(Таблица1[Количество складов],MATCH(1,(Таблица1[Дата]=Лист1!A269)*(Таблица1[Территория]=Лист1!C269),0))</f>
        <v>15</v>
      </c>
      <c r="I269" s="26" cm="1">
        <f t="array" ref="I269">INDEX(Таблица1[Количество заказов],MATCH(1,(Таблица1[Дата]=Лист1!A269)*(Таблица1[Территория]=Лист1!C269),0))</f>
        <v>492</v>
      </c>
      <c r="J269" s="26" cm="1">
        <f t="array" ref="J269">INDEX(Таблица1[Количество клиентов],MATCH(1,(Таблица1[Дата]=Лист1!A269)*(Таблица1[Территория]=Лист1!C269),0))</f>
        <v>412</v>
      </c>
    </row>
    <row r="270" spans="1:10" x14ac:dyDescent="0.3">
      <c r="A270" s="13">
        <v>43958</v>
      </c>
      <c r="B270" s="35">
        <f t="shared" si="4"/>
        <v>19</v>
      </c>
      <c r="C270" s="14" t="s">
        <v>13</v>
      </c>
      <c r="D270" s="25">
        <v>8719.5</v>
      </c>
      <c r="E270" s="28">
        <v>769276.5</v>
      </c>
      <c r="F270" s="28">
        <v>654599.97699999996</v>
      </c>
      <c r="G270" s="29">
        <v>184385.1884923077</v>
      </c>
      <c r="H270" s="25" cm="1">
        <f t="array" ref="H270">INDEX(Таблица1[Количество складов],MATCH(1,(Таблица1[Дата]=Лист1!A270)*(Таблица1[Территория]=Лист1!C270),0))</f>
        <v>15</v>
      </c>
      <c r="I270" s="25" cm="1">
        <f t="array" ref="I270">INDEX(Таблица1[Количество заказов],MATCH(1,(Таблица1[Дата]=Лист1!A270)*(Таблица1[Территория]=Лист1!C270),0))</f>
        <v>480</v>
      </c>
      <c r="J270" s="25" cm="1">
        <f t="array" ref="J270">INDEX(Таблица1[Количество клиентов],MATCH(1,(Таблица1[Дата]=Лист1!A270)*(Таблица1[Территория]=Лист1!C270),0))</f>
        <v>398</v>
      </c>
    </row>
    <row r="271" spans="1:10" x14ac:dyDescent="0.3">
      <c r="A271" s="15">
        <v>43975</v>
      </c>
      <c r="B271" s="36">
        <f t="shared" si="4"/>
        <v>21</v>
      </c>
      <c r="C271" s="16" t="s">
        <v>13</v>
      </c>
      <c r="D271" s="26">
        <v>12666</v>
      </c>
      <c r="E271" s="30">
        <v>1184865</v>
      </c>
      <c r="F271" s="30">
        <v>953822.62099999993</v>
      </c>
      <c r="G271" s="31">
        <v>340158.78723076923</v>
      </c>
      <c r="H271" s="26" cm="1">
        <f t="array" ref="H271">INDEX(Таблица1[Количество складов],MATCH(1,(Таблица1[Дата]=Лист1!A271)*(Таблица1[Территория]=Лист1!C271),0))</f>
        <v>15</v>
      </c>
      <c r="I271" s="26" cm="1">
        <f t="array" ref="I271">INDEX(Таблица1[Количество заказов],MATCH(1,(Таблица1[Дата]=Лист1!A271)*(Таблица1[Территория]=Лист1!C271),0))</f>
        <v>779</v>
      </c>
      <c r="J271" s="26" cm="1">
        <f t="array" ref="J271">INDEX(Таблица1[Количество клиентов],MATCH(1,(Таблица1[Дата]=Лист1!A271)*(Таблица1[Территория]=Лист1!C271),0))</f>
        <v>673</v>
      </c>
    </row>
    <row r="272" spans="1:10" x14ac:dyDescent="0.3">
      <c r="A272" s="13">
        <v>43967</v>
      </c>
      <c r="B272" s="35">
        <f t="shared" si="4"/>
        <v>20</v>
      </c>
      <c r="C272" s="14" t="s">
        <v>7</v>
      </c>
      <c r="D272" s="25">
        <v>34563</v>
      </c>
      <c r="E272" s="28">
        <v>2922883.5</v>
      </c>
      <c r="F272" s="28">
        <v>2340316.3049999997</v>
      </c>
      <c r="G272" s="29">
        <v>109812.45384615385</v>
      </c>
      <c r="H272" s="25" cm="1">
        <f t="array" ref="H272">INDEX(Таблица1[Количество складов],MATCH(1,(Таблица1[Дата]=Лист1!A272)*(Таблица1[Территория]=Лист1!C272),0))</f>
        <v>19</v>
      </c>
      <c r="I272" s="25" cm="1">
        <f t="array" ref="I272">INDEX(Таблица1[Количество заказов],MATCH(1,(Таблица1[Дата]=Лист1!A272)*(Таблица1[Территория]=Лист1!C272),0))</f>
        <v>2039</v>
      </c>
      <c r="J272" s="25" cm="1">
        <f t="array" ref="J272">INDEX(Таблица1[Количество клиентов],MATCH(1,(Таблица1[Дата]=Лист1!A272)*(Таблица1[Территория]=Лист1!C272),0))</f>
        <v>1868</v>
      </c>
    </row>
    <row r="273" spans="1:10" x14ac:dyDescent="0.3">
      <c r="A273" s="15">
        <v>43970</v>
      </c>
      <c r="B273" s="36">
        <f t="shared" si="4"/>
        <v>21</v>
      </c>
      <c r="C273" s="16" t="s">
        <v>7</v>
      </c>
      <c r="D273" s="26">
        <v>28882.5</v>
      </c>
      <c r="E273" s="30">
        <v>2446530</v>
      </c>
      <c r="F273" s="30">
        <v>1956748.2629999998</v>
      </c>
      <c r="G273" s="31">
        <v>108543.03143076923</v>
      </c>
      <c r="H273" s="26" cm="1">
        <f t="array" ref="H273">INDEX(Таблица1[Количество складов],MATCH(1,(Таблица1[Дата]=Лист1!A273)*(Таблица1[Территория]=Лист1!C273),0))</f>
        <v>19</v>
      </c>
      <c r="I273" s="26" cm="1">
        <f t="array" ref="I273">INDEX(Таблица1[Количество заказов],MATCH(1,(Таблица1[Дата]=Лист1!A273)*(Таблица1[Территория]=Лист1!C273),0))</f>
        <v>1831</v>
      </c>
      <c r="J273" s="26" cm="1">
        <f t="array" ref="J273">INDEX(Таблица1[Количество клиентов],MATCH(1,(Таблица1[Дата]=Лист1!A273)*(Таблица1[Территория]=Лист1!C273),0))</f>
        <v>1667</v>
      </c>
    </row>
    <row r="274" spans="1:10" x14ac:dyDescent="0.3">
      <c r="A274" s="13">
        <v>43968</v>
      </c>
      <c r="B274" s="35">
        <f t="shared" si="4"/>
        <v>20</v>
      </c>
      <c r="C274" s="14" t="s">
        <v>7</v>
      </c>
      <c r="D274" s="25">
        <v>28275</v>
      </c>
      <c r="E274" s="28">
        <v>2435632.5</v>
      </c>
      <c r="F274" s="28">
        <v>1954139.7149999999</v>
      </c>
      <c r="G274" s="29">
        <v>79541.984615384616</v>
      </c>
      <c r="H274" s="25" cm="1">
        <f t="array" ref="H274">INDEX(Таблица1[Количество складов],MATCH(1,(Таблица1[Дата]=Лист1!A274)*(Таблица1[Территория]=Лист1!C274),0))</f>
        <v>19</v>
      </c>
      <c r="I274" s="25" cm="1">
        <f t="array" ref="I274">INDEX(Таблица1[Количество заказов],MATCH(1,(Таблица1[Дата]=Лист1!A274)*(Таблица1[Территория]=Лист1!C274),0))</f>
        <v>1790</v>
      </c>
      <c r="J274" s="25" cm="1">
        <f t="array" ref="J274">INDEX(Таблица1[Количество клиентов],MATCH(1,(Таблица1[Дата]=Лист1!A274)*(Таблица1[Территория]=Лист1!C274),0))</f>
        <v>1633</v>
      </c>
    </row>
    <row r="275" spans="1:10" x14ac:dyDescent="0.3">
      <c r="A275" s="15">
        <v>43960</v>
      </c>
      <c r="B275" s="36">
        <f t="shared" si="4"/>
        <v>19</v>
      </c>
      <c r="C275" s="16" t="s">
        <v>7</v>
      </c>
      <c r="D275" s="26">
        <v>26271</v>
      </c>
      <c r="E275" s="30">
        <v>2384937</v>
      </c>
      <c r="F275" s="30">
        <v>1880070.5110000002</v>
      </c>
      <c r="G275" s="31">
        <v>141472.14615384614</v>
      </c>
      <c r="H275" s="26" cm="1">
        <f t="array" ref="H275">INDEX(Таблица1[Количество складов],MATCH(1,(Таблица1[Дата]=Лист1!A275)*(Таблица1[Территория]=Лист1!C275),0))</f>
        <v>19</v>
      </c>
      <c r="I275" s="26" cm="1">
        <f t="array" ref="I275">INDEX(Таблица1[Количество заказов],MATCH(1,(Таблица1[Дата]=Лист1!A275)*(Таблица1[Территория]=Лист1!C275),0))</f>
        <v>1542</v>
      </c>
      <c r="J275" s="26" cm="1">
        <f t="array" ref="J275">INDEX(Таблица1[Количество клиентов],MATCH(1,(Таблица1[Дата]=Лист1!A275)*(Таблица1[Территория]=Лист1!C275),0))</f>
        <v>1412</v>
      </c>
    </row>
    <row r="276" spans="1:10" x14ac:dyDescent="0.3">
      <c r="A276" s="13">
        <v>43955</v>
      </c>
      <c r="B276" s="35">
        <f t="shared" si="4"/>
        <v>19</v>
      </c>
      <c r="C276" s="14" t="s">
        <v>7</v>
      </c>
      <c r="D276" s="25">
        <v>23587.5</v>
      </c>
      <c r="E276" s="28">
        <v>2155668</v>
      </c>
      <c r="F276" s="28">
        <v>1685753.1839999999</v>
      </c>
      <c r="G276" s="29">
        <v>135489.15811538461</v>
      </c>
      <c r="H276" s="25" cm="1">
        <f t="array" ref="H276">INDEX(Таблица1[Количество складов],MATCH(1,(Таблица1[Дата]=Лист1!A276)*(Таблица1[Территория]=Лист1!C276),0))</f>
        <v>19</v>
      </c>
      <c r="I276" s="25" cm="1">
        <f t="array" ref="I276">INDEX(Таблица1[Количество заказов],MATCH(1,(Таблица1[Дата]=Лист1!A276)*(Таблица1[Территория]=Лист1!C276),0))</f>
        <v>1479</v>
      </c>
      <c r="J276" s="25" cm="1">
        <f t="array" ref="J276">INDEX(Таблица1[Количество клиентов],MATCH(1,(Таблица1[Дата]=Лист1!A276)*(Таблица1[Территория]=Лист1!C276),0))</f>
        <v>1346</v>
      </c>
    </row>
    <row r="277" spans="1:10" x14ac:dyDescent="0.3">
      <c r="A277" s="15">
        <v>43953</v>
      </c>
      <c r="B277" s="36">
        <f t="shared" si="4"/>
        <v>18</v>
      </c>
      <c r="C277" s="16" t="s">
        <v>7</v>
      </c>
      <c r="D277" s="26">
        <v>18427.5</v>
      </c>
      <c r="E277" s="30">
        <v>1682851.5</v>
      </c>
      <c r="F277" s="30">
        <v>1337535.2989999999</v>
      </c>
      <c r="G277" s="31">
        <v>121636.08074615385</v>
      </c>
      <c r="H277" s="26" cm="1">
        <f t="array" ref="H277">INDEX(Таблица1[Количество складов],MATCH(1,(Таблица1[Дата]=Лист1!A277)*(Таблица1[Территория]=Лист1!C277),0))</f>
        <v>19</v>
      </c>
      <c r="I277" s="26" cm="1">
        <f t="array" ref="I277">INDEX(Таблица1[Количество заказов],MATCH(1,(Таблица1[Дата]=Лист1!A277)*(Таблица1[Территория]=Лист1!C277),0))</f>
        <v>1206</v>
      </c>
      <c r="J277" s="26" cm="1">
        <f t="array" ref="J277">INDEX(Таблица1[Количество клиентов],MATCH(1,(Таблица1[Дата]=Лист1!A277)*(Таблица1[Территория]=Лист1!C277),0))</f>
        <v>1080</v>
      </c>
    </row>
    <row r="278" spans="1:10" x14ac:dyDescent="0.3">
      <c r="A278" s="13">
        <v>43977</v>
      </c>
      <c r="B278" s="35">
        <f t="shared" si="4"/>
        <v>22</v>
      </c>
      <c r="C278" s="14" t="s">
        <v>7</v>
      </c>
      <c r="D278" s="25">
        <v>27156</v>
      </c>
      <c r="E278" s="28">
        <v>2410803</v>
      </c>
      <c r="F278" s="28">
        <v>1897998.2520000001</v>
      </c>
      <c r="G278" s="29">
        <v>96303.4</v>
      </c>
      <c r="H278" s="25" cm="1">
        <f t="array" ref="H278">INDEX(Таблица1[Количество складов],MATCH(1,(Таблица1[Дата]=Лист1!A278)*(Таблица1[Территория]=Лист1!C278),0))</f>
        <v>20</v>
      </c>
      <c r="I278" s="25" cm="1">
        <f t="array" ref="I278">INDEX(Таблица1[Количество заказов],MATCH(1,(Таблица1[Дата]=Лист1!A278)*(Таблица1[Территория]=Лист1!C278),0))</f>
        <v>1814</v>
      </c>
      <c r="J278" s="25" cm="1">
        <f t="array" ref="J278">INDEX(Таблица1[Количество клиентов],MATCH(1,(Таблица1[Дата]=Лист1!A278)*(Таблица1[Территория]=Лист1!C278),0))</f>
        <v>1655</v>
      </c>
    </row>
    <row r="279" spans="1:10" x14ac:dyDescent="0.3">
      <c r="A279" s="15">
        <v>43952</v>
      </c>
      <c r="B279" s="36">
        <f t="shared" si="4"/>
        <v>18</v>
      </c>
      <c r="C279" s="16" t="s">
        <v>7</v>
      </c>
      <c r="D279" s="26">
        <v>35190</v>
      </c>
      <c r="E279" s="30">
        <v>3168510</v>
      </c>
      <c r="F279" s="30">
        <v>2533138.7200000002</v>
      </c>
      <c r="G279" s="31">
        <v>102615.49999999999</v>
      </c>
      <c r="H279" s="26" cm="1">
        <f t="array" ref="H279">INDEX(Таблица1[Количество складов],MATCH(1,(Таблица1[Дата]=Лист1!A279)*(Таблица1[Территория]=Лист1!C279),0))</f>
        <v>19</v>
      </c>
      <c r="I279" s="26" cm="1">
        <f t="array" ref="I279">INDEX(Таблица1[Количество заказов],MATCH(1,(Таблица1[Дата]=Лист1!A279)*(Таблица1[Территория]=Лист1!C279),0))</f>
        <v>1987</v>
      </c>
      <c r="J279" s="26" cm="1">
        <f t="array" ref="J279">INDEX(Таблица1[Количество клиентов],MATCH(1,(Таблица1[Дата]=Лист1!A279)*(Таблица1[Территория]=Лист1!C279),0))</f>
        <v>1791</v>
      </c>
    </row>
    <row r="280" spans="1:10" x14ac:dyDescent="0.3">
      <c r="A280" s="13">
        <v>43963</v>
      </c>
      <c r="B280" s="35">
        <f t="shared" si="4"/>
        <v>20</v>
      </c>
      <c r="C280" s="14" t="s">
        <v>7</v>
      </c>
      <c r="D280" s="25">
        <v>25483.5</v>
      </c>
      <c r="E280" s="28">
        <v>2243160</v>
      </c>
      <c r="F280" s="28">
        <v>1757185.7729999998</v>
      </c>
      <c r="G280" s="29">
        <v>114933.59230769231</v>
      </c>
      <c r="H280" s="25" cm="1">
        <f t="array" ref="H280">INDEX(Таблица1[Количество складов],MATCH(1,(Таблица1[Дата]=Лист1!A280)*(Таблица1[Территория]=Лист1!C280),0))</f>
        <v>19</v>
      </c>
      <c r="I280" s="25" cm="1">
        <f t="array" ref="I280">INDEX(Таблица1[Количество заказов],MATCH(1,(Таблица1[Дата]=Лист1!A280)*(Таблица1[Территория]=Лист1!C280),0))</f>
        <v>1598</v>
      </c>
      <c r="J280" s="25" cm="1">
        <f t="array" ref="J280">INDEX(Таблица1[Количество клиентов],MATCH(1,(Таблица1[Дата]=Лист1!A280)*(Таблица1[Территория]=Лист1!C280),0))</f>
        <v>1454</v>
      </c>
    </row>
    <row r="281" spans="1:10" x14ac:dyDescent="0.3">
      <c r="A281" s="15">
        <v>43972</v>
      </c>
      <c r="B281" s="36">
        <f t="shared" si="4"/>
        <v>21</v>
      </c>
      <c r="C281" s="16" t="s">
        <v>7</v>
      </c>
      <c r="D281" s="26">
        <v>25362</v>
      </c>
      <c r="E281" s="30">
        <v>2198935.5</v>
      </c>
      <c r="F281" s="30">
        <v>1755958.3049999999</v>
      </c>
      <c r="G281" s="31">
        <v>102833.37792307691</v>
      </c>
      <c r="H281" s="26" cm="1">
        <f t="array" ref="H281">INDEX(Таблица1[Количество складов],MATCH(1,(Таблица1[Дата]=Лист1!A281)*(Таблица1[Территория]=Лист1!C281),0))</f>
        <v>19</v>
      </c>
      <c r="I281" s="26" cm="1">
        <f t="array" ref="I281">INDEX(Таблица1[Количество заказов],MATCH(1,(Таблица1[Дата]=Лист1!A281)*(Таблица1[Территория]=Лист1!C281),0))</f>
        <v>1650</v>
      </c>
      <c r="J281" s="26" cm="1">
        <f t="array" ref="J281">INDEX(Таблица1[Количество клиентов],MATCH(1,(Таблица1[Дата]=Лист1!A281)*(Таблица1[Территория]=Лист1!C281),0))</f>
        <v>1505</v>
      </c>
    </row>
    <row r="282" spans="1:10" x14ac:dyDescent="0.3">
      <c r="A282" s="13">
        <v>43971</v>
      </c>
      <c r="B282" s="35">
        <f t="shared" si="4"/>
        <v>21</v>
      </c>
      <c r="C282" s="14" t="s">
        <v>7</v>
      </c>
      <c r="D282" s="25">
        <v>28849.5</v>
      </c>
      <c r="E282" s="28">
        <v>2520759</v>
      </c>
      <c r="F282" s="28">
        <v>2010739.0729999999</v>
      </c>
      <c r="G282" s="29">
        <v>106300.0107076923</v>
      </c>
      <c r="H282" s="25" cm="1">
        <f t="array" ref="H282">INDEX(Таблица1[Количество складов],MATCH(1,(Таблица1[Дата]=Лист1!A282)*(Таблица1[Территория]=Лист1!C282),0))</f>
        <v>19</v>
      </c>
      <c r="I282" s="25" cm="1">
        <f t="array" ref="I282">INDEX(Таблица1[Количество заказов],MATCH(1,(Таблица1[Дата]=Лист1!A282)*(Таблица1[Территория]=Лист1!C282),0))</f>
        <v>1823</v>
      </c>
      <c r="J282" s="25" cm="1">
        <f t="array" ref="J282">INDEX(Таблица1[Количество клиентов],MATCH(1,(Таблица1[Дата]=Лист1!A282)*(Таблица1[Территория]=Лист1!C282),0))</f>
        <v>1678</v>
      </c>
    </row>
    <row r="283" spans="1:10" x14ac:dyDescent="0.3">
      <c r="A283" s="15">
        <v>43956</v>
      </c>
      <c r="B283" s="36">
        <f t="shared" si="4"/>
        <v>19</v>
      </c>
      <c r="C283" s="16" t="s">
        <v>7</v>
      </c>
      <c r="D283" s="26">
        <v>26367</v>
      </c>
      <c r="E283" s="30">
        <v>2380333.5</v>
      </c>
      <c r="F283" s="30">
        <v>1873451.2719999999</v>
      </c>
      <c r="G283" s="31">
        <v>149632.49369999999</v>
      </c>
      <c r="H283" s="26" cm="1">
        <f t="array" ref="H283">INDEX(Таблица1[Количество складов],MATCH(1,(Таблица1[Дата]=Лист1!A283)*(Таблица1[Территория]=Лист1!C283),0))</f>
        <v>19</v>
      </c>
      <c r="I283" s="26" cm="1">
        <f t="array" ref="I283">INDEX(Таблица1[Количество заказов],MATCH(1,(Таблица1[Дата]=Лист1!A283)*(Таблица1[Территория]=Лист1!C283),0))</f>
        <v>1622</v>
      </c>
      <c r="J283" s="26" cm="1">
        <f t="array" ref="J283">INDEX(Таблица1[Количество клиентов],MATCH(1,(Таблица1[Дата]=Лист1!A283)*(Таблица1[Территория]=Лист1!C283),0))</f>
        <v>1482</v>
      </c>
    </row>
    <row r="284" spans="1:10" x14ac:dyDescent="0.3">
      <c r="A284" s="13">
        <v>43964</v>
      </c>
      <c r="B284" s="35">
        <f t="shared" si="4"/>
        <v>20</v>
      </c>
      <c r="C284" s="14" t="s">
        <v>7</v>
      </c>
      <c r="D284" s="25">
        <v>25539</v>
      </c>
      <c r="E284" s="28">
        <v>2263651.5</v>
      </c>
      <c r="F284" s="28">
        <v>1783039.3049999997</v>
      </c>
      <c r="G284" s="29">
        <v>139331.31929230769</v>
      </c>
      <c r="H284" s="25" cm="1">
        <f t="array" ref="H284">INDEX(Таблица1[Количество складов],MATCH(1,(Таблица1[Дата]=Лист1!A284)*(Таблица1[Территория]=Лист1!C284),0))</f>
        <v>19</v>
      </c>
      <c r="I284" s="25" cm="1">
        <f t="array" ref="I284">INDEX(Таблица1[Количество заказов],MATCH(1,(Таблица1[Дата]=Лист1!A284)*(Таблица1[Территория]=Лист1!C284),0))</f>
        <v>1605</v>
      </c>
      <c r="J284" s="25" cm="1">
        <f t="array" ref="J284">INDEX(Таблица1[Количество клиентов],MATCH(1,(Таблица1[Дата]=Лист1!A284)*(Таблица1[Территория]=Лист1!C284),0))</f>
        <v>1447</v>
      </c>
    </row>
    <row r="285" spans="1:10" x14ac:dyDescent="0.3">
      <c r="A285" s="15">
        <v>43982</v>
      </c>
      <c r="B285" s="36">
        <f t="shared" si="4"/>
        <v>22</v>
      </c>
      <c r="C285" s="16" t="s">
        <v>13</v>
      </c>
      <c r="D285" s="26">
        <v>14808</v>
      </c>
      <c r="E285" s="30">
        <v>1336789.5</v>
      </c>
      <c r="F285" s="30">
        <v>1084824.9949999999</v>
      </c>
      <c r="G285" s="31">
        <v>167974.06755384614</v>
      </c>
      <c r="H285" s="26" cm="1">
        <f t="array" ref="H285">INDEX(Таблица1[Количество складов],MATCH(1,(Таблица1[Дата]=Лист1!A285)*(Таблица1[Территория]=Лист1!C285),0))</f>
        <v>16</v>
      </c>
      <c r="I285" s="26" cm="1">
        <f t="array" ref="I285">INDEX(Таблица1[Количество заказов],MATCH(1,(Таблица1[Дата]=Лист1!A285)*(Таблица1[Территория]=Лист1!C285),0))</f>
        <v>917</v>
      </c>
      <c r="J285" s="26" cm="1">
        <f t="array" ref="J285">INDEX(Таблица1[Количество клиентов],MATCH(1,(Таблица1[Дата]=Лист1!A285)*(Таблица1[Территория]=Лист1!C285),0))</f>
        <v>802</v>
      </c>
    </row>
    <row r="286" spans="1:10" x14ac:dyDescent="0.3">
      <c r="A286" s="13">
        <v>43954</v>
      </c>
      <c r="B286" s="35">
        <f t="shared" si="4"/>
        <v>18</v>
      </c>
      <c r="C286" s="14" t="s">
        <v>7</v>
      </c>
      <c r="D286" s="25">
        <v>21343.5</v>
      </c>
      <c r="E286" s="28">
        <v>1906557</v>
      </c>
      <c r="F286" s="28">
        <v>1485927.8739999998</v>
      </c>
      <c r="G286" s="29">
        <v>100092.68052307691</v>
      </c>
      <c r="H286" s="25" cm="1">
        <f t="array" ref="H286">INDEX(Таблица1[Количество складов],MATCH(1,(Таблица1[Дата]=Лист1!A286)*(Таблица1[Территория]=Лист1!C286),0))</f>
        <v>19</v>
      </c>
      <c r="I286" s="25" cm="1">
        <f t="array" ref="I286">INDEX(Таблица1[Количество заказов],MATCH(1,(Таблица1[Дата]=Лист1!A286)*(Таблица1[Территория]=Лист1!C286),0))</f>
        <v>1314</v>
      </c>
      <c r="J286" s="25" cm="1">
        <f t="array" ref="J286">INDEX(Таблица1[Количество клиентов],MATCH(1,(Таблица1[Дата]=Лист1!A286)*(Таблица1[Территория]=Лист1!C286),0))</f>
        <v>1192</v>
      </c>
    </row>
    <row r="287" spans="1:10" x14ac:dyDescent="0.3">
      <c r="A287" s="15">
        <v>43981</v>
      </c>
      <c r="B287" s="36">
        <f t="shared" si="4"/>
        <v>22</v>
      </c>
      <c r="C287" s="16" t="s">
        <v>13</v>
      </c>
      <c r="D287" s="26">
        <v>17946</v>
      </c>
      <c r="E287" s="30">
        <v>1609090.5</v>
      </c>
      <c r="F287" s="30">
        <v>1298844.2</v>
      </c>
      <c r="G287" s="31">
        <v>137945.5276</v>
      </c>
      <c r="H287" s="26" cm="1">
        <f t="array" ref="H287">INDEX(Таблица1[Количество складов],MATCH(1,(Таблица1[Дата]=Лист1!A287)*(Таблица1[Территория]=Лист1!C287),0))</f>
        <v>16</v>
      </c>
      <c r="I287" s="26" cm="1">
        <f t="array" ref="I287">INDEX(Таблица1[Количество заказов],MATCH(1,(Таблица1[Дата]=Лист1!A287)*(Таблица1[Территория]=Лист1!C287),0))</f>
        <v>1048</v>
      </c>
      <c r="J287" s="26" cm="1">
        <f t="array" ref="J287">INDEX(Таблица1[Количество клиентов],MATCH(1,(Таблица1[Дата]=Лист1!A287)*(Таблица1[Территория]=Лист1!C287),0))</f>
        <v>918</v>
      </c>
    </row>
    <row r="288" spans="1:10" x14ac:dyDescent="0.3">
      <c r="A288" s="13">
        <v>43957</v>
      </c>
      <c r="B288" s="35">
        <f t="shared" si="4"/>
        <v>19</v>
      </c>
      <c r="C288" s="14" t="s">
        <v>7</v>
      </c>
      <c r="D288" s="25">
        <v>24337.5</v>
      </c>
      <c r="E288" s="28">
        <v>2159350.5</v>
      </c>
      <c r="F288" s="28">
        <v>1715939.5399999998</v>
      </c>
      <c r="G288" s="29">
        <v>115138.50836153845</v>
      </c>
      <c r="H288" s="25" cm="1">
        <f t="array" ref="H288">INDEX(Таблица1[Количество складов],MATCH(1,(Таблица1[Дата]=Лист1!A288)*(Таблица1[Территория]=Лист1!C288),0))</f>
        <v>19</v>
      </c>
      <c r="I288" s="25" cm="1">
        <f t="array" ref="I288">INDEX(Таблица1[Количество заказов],MATCH(1,(Таблица1[Дата]=Лист1!A288)*(Таблица1[Территория]=Лист1!C288),0))</f>
        <v>1509</v>
      </c>
      <c r="J288" s="25" cm="1">
        <f t="array" ref="J288">INDEX(Таблица1[Количество клиентов],MATCH(1,(Таблица1[Дата]=Лист1!A288)*(Таблица1[Территория]=Лист1!C288),0))</f>
        <v>1374</v>
      </c>
    </row>
    <row r="289" spans="1:10" x14ac:dyDescent="0.3">
      <c r="A289" s="15">
        <v>43974</v>
      </c>
      <c r="B289" s="36">
        <f t="shared" si="4"/>
        <v>21</v>
      </c>
      <c r="C289" s="16" t="s">
        <v>7</v>
      </c>
      <c r="D289" s="26">
        <v>36997.5</v>
      </c>
      <c r="E289" s="30">
        <v>3089140.5</v>
      </c>
      <c r="F289" s="30">
        <v>2533823.1740000001</v>
      </c>
      <c r="G289" s="31">
        <v>109891.53846153845</v>
      </c>
      <c r="H289" s="26" cm="1">
        <f t="array" ref="H289">INDEX(Таблица1[Количество складов],MATCH(1,(Таблица1[Дата]=Лист1!A289)*(Таблица1[Территория]=Лист1!C289),0))</f>
        <v>19</v>
      </c>
      <c r="I289" s="26" cm="1">
        <f t="array" ref="I289">INDEX(Таблица1[Количество заказов],MATCH(1,(Таблица1[Дата]=Лист1!A289)*(Таблица1[Территория]=Лист1!C289),0))</f>
        <v>2195</v>
      </c>
      <c r="J289" s="26" cm="1">
        <f t="array" ref="J289">INDEX(Таблица1[Количество клиентов],MATCH(1,(Таблица1[Дата]=Лист1!A289)*(Таблица1[Территория]=Лист1!C289),0))</f>
        <v>1999</v>
      </c>
    </row>
    <row r="290" spans="1:10" x14ac:dyDescent="0.3">
      <c r="A290" s="13">
        <v>43979</v>
      </c>
      <c r="B290" s="35">
        <f t="shared" si="4"/>
        <v>22</v>
      </c>
      <c r="C290" s="14" t="s">
        <v>13</v>
      </c>
      <c r="D290" s="25">
        <v>13864.5</v>
      </c>
      <c r="E290" s="28">
        <v>1239747</v>
      </c>
      <c r="F290" s="28">
        <v>995597.5199999999</v>
      </c>
      <c r="G290" s="29">
        <v>216733.44615384613</v>
      </c>
      <c r="H290" s="25" cm="1">
        <f t="array" ref="H290">INDEX(Таблица1[Количество складов],MATCH(1,(Таблица1[Дата]=Лист1!A290)*(Таблица1[Территория]=Лист1!C290),0))</f>
        <v>16</v>
      </c>
      <c r="I290" s="25" cm="1">
        <f t="array" ref="I290">INDEX(Таблица1[Количество заказов],MATCH(1,(Таблица1[Дата]=Лист1!A290)*(Таблица1[Территория]=Лист1!C290),0))</f>
        <v>876</v>
      </c>
      <c r="J290" s="25" cm="1">
        <f t="array" ref="J290">INDEX(Таблица1[Количество клиентов],MATCH(1,(Таблица1[Дата]=Лист1!A290)*(Таблица1[Территория]=Лист1!C290),0))</f>
        <v>762</v>
      </c>
    </row>
    <row r="291" spans="1:10" x14ac:dyDescent="0.3">
      <c r="A291" s="15">
        <v>43976</v>
      </c>
      <c r="B291" s="36">
        <f t="shared" si="4"/>
        <v>22</v>
      </c>
      <c r="C291" s="16" t="s">
        <v>7</v>
      </c>
      <c r="D291" s="26">
        <v>28494</v>
      </c>
      <c r="E291" s="30">
        <v>2512803</v>
      </c>
      <c r="F291" s="30">
        <v>1972327.267</v>
      </c>
      <c r="G291" s="31">
        <v>174025.3846153846</v>
      </c>
      <c r="H291" s="26" cm="1">
        <f t="array" ref="H291">INDEX(Таблица1[Количество складов],MATCH(1,(Таблица1[Дата]=Лист1!A291)*(Таблица1[Территория]=Лист1!C291),0))</f>
        <v>20</v>
      </c>
      <c r="I291" s="26" cm="1">
        <f t="array" ref="I291">INDEX(Таблица1[Количество заказов],MATCH(1,(Таблица1[Дата]=Лист1!A291)*(Таблица1[Территория]=Лист1!C291),0))</f>
        <v>1899</v>
      </c>
      <c r="J291" s="26" cm="1">
        <f t="array" ref="J291">INDEX(Таблица1[Количество клиентов],MATCH(1,(Таблица1[Дата]=Лист1!A291)*(Таблица1[Территория]=Лист1!C291),0))</f>
        <v>1738</v>
      </c>
    </row>
    <row r="292" spans="1:10" x14ac:dyDescent="0.3">
      <c r="A292" s="13">
        <v>43951</v>
      </c>
      <c r="B292" s="35">
        <f t="shared" si="4"/>
        <v>18</v>
      </c>
      <c r="C292" s="14" t="s">
        <v>7</v>
      </c>
      <c r="D292" s="25">
        <v>27883.5</v>
      </c>
      <c r="E292" s="28">
        <v>2560080</v>
      </c>
      <c r="F292" s="28">
        <v>2016381.645</v>
      </c>
      <c r="G292" s="29">
        <v>41912.707692307689</v>
      </c>
      <c r="H292" s="25" cm="1">
        <f t="array" ref="H292">INDEX(Таблица1[Количество складов],MATCH(1,(Таблица1[Дата]=Лист1!A292)*(Таблица1[Территория]=Лист1!C292),0))</f>
        <v>19</v>
      </c>
      <c r="I292" s="25" cm="1">
        <f t="array" ref="I292">INDEX(Таблица1[Количество заказов],MATCH(1,(Таблица1[Дата]=Лист1!A292)*(Таблица1[Территория]=Лист1!C292),0))</f>
        <v>1662</v>
      </c>
      <c r="J292" s="25" cm="1">
        <f t="array" ref="J292">INDEX(Таблица1[Количество клиентов],MATCH(1,(Таблица1[Дата]=Лист1!A292)*(Таблица1[Территория]=Лист1!C292),0))</f>
        <v>1506</v>
      </c>
    </row>
    <row r="293" spans="1:10" x14ac:dyDescent="0.3">
      <c r="A293" s="15">
        <v>43961</v>
      </c>
      <c r="B293" s="36">
        <f t="shared" si="4"/>
        <v>19</v>
      </c>
      <c r="C293" s="16" t="s">
        <v>7</v>
      </c>
      <c r="D293" s="26">
        <v>31224</v>
      </c>
      <c r="E293" s="30">
        <v>2767270.5</v>
      </c>
      <c r="F293" s="30">
        <v>2174380.5969999996</v>
      </c>
      <c r="G293" s="31">
        <v>80170.980907692297</v>
      </c>
      <c r="H293" s="26" cm="1">
        <f t="array" ref="H293">INDEX(Таблица1[Количество складов],MATCH(1,(Таблица1[Дата]=Лист1!A293)*(Таблица1[Территория]=Лист1!C293),0))</f>
        <v>19</v>
      </c>
      <c r="I293" s="26" cm="1">
        <f t="array" ref="I293">INDEX(Таблица1[Количество заказов],MATCH(1,(Таблица1[Дата]=Лист1!A293)*(Таблица1[Территория]=Лист1!C293),0))</f>
        <v>1836</v>
      </c>
      <c r="J293" s="26" cm="1">
        <f t="array" ref="J293">INDEX(Таблица1[Количество клиентов],MATCH(1,(Таблица1[Дата]=Лист1!A293)*(Таблица1[Территория]=Лист1!C293),0))</f>
        <v>1680</v>
      </c>
    </row>
    <row r="294" spans="1:10" x14ac:dyDescent="0.3">
      <c r="A294" s="13">
        <v>43959</v>
      </c>
      <c r="B294" s="35">
        <f t="shared" si="4"/>
        <v>19</v>
      </c>
      <c r="C294" s="14" t="s">
        <v>7</v>
      </c>
      <c r="D294" s="25">
        <v>25020</v>
      </c>
      <c r="E294" s="28">
        <v>2235960</v>
      </c>
      <c r="F294" s="28">
        <v>1780335.608</v>
      </c>
      <c r="G294" s="29">
        <v>140320.89928461539</v>
      </c>
      <c r="H294" s="25" cm="1">
        <f t="array" ref="H294">INDEX(Таблица1[Количество складов],MATCH(1,(Таблица1[Дата]=Лист1!A294)*(Таблица1[Территория]=Лист1!C294),0))</f>
        <v>19</v>
      </c>
      <c r="I294" s="25" cm="1">
        <f t="array" ref="I294">INDEX(Таблица1[Количество заказов],MATCH(1,(Таблица1[Дата]=Лист1!A294)*(Таблица1[Территория]=Лист1!C294),0))</f>
        <v>1520</v>
      </c>
      <c r="J294" s="25" cm="1">
        <f t="array" ref="J294">INDEX(Таблица1[Количество клиентов],MATCH(1,(Таблица1[Дата]=Лист1!A294)*(Таблица1[Территория]=Лист1!C294),0))</f>
        <v>1380</v>
      </c>
    </row>
    <row r="295" spans="1:10" x14ac:dyDescent="0.3">
      <c r="A295" s="15">
        <v>43958</v>
      </c>
      <c r="B295" s="36">
        <f t="shared" si="4"/>
        <v>19</v>
      </c>
      <c r="C295" s="16" t="s">
        <v>7</v>
      </c>
      <c r="D295" s="26">
        <v>26184</v>
      </c>
      <c r="E295" s="30">
        <v>2308336.5</v>
      </c>
      <c r="F295" s="30">
        <v>1837113.1940000001</v>
      </c>
      <c r="G295" s="31">
        <v>115064.43612307693</v>
      </c>
      <c r="H295" s="26" cm="1">
        <f t="array" ref="H295">INDEX(Таблица1[Количество складов],MATCH(1,(Таблица1[Дата]=Лист1!A295)*(Таблица1[Территория]=Лист1!C295),0))</f>
        <v>19</v>
      </c>
      <c r="I295" s="26" cm="1">
        <f t="array" ref="I295">INDEX(Таблица1[Количество заказов],MATCH(1,(Таблица1[Дата]=Лист1!A295)*(Таблица1[Территория]=Лист1!C295),0))</f>
        <v>1580</v>
      </c>
      <c r="J295" s="26" cm="1">
        <f t="array" ref="J295">INDEX(Таблица1[Количество клиентов],MATCH(1,(Таблица1[Дата]=Лист1!A295)*(Таблица1[Территория]=Лист1!C295),0))</f>
        <v>1435</v>
      </c>
    </row>
    <row r="296" spans="1:10" x14ac:dyDescent="0.3">
      <c r="A296" s="13">
        <v>43975</v>
      </c>
      <c r="B296" s="35">
        <f t="shared" si="4"/>
        <v>21</v>
      </c>
      <c r="C296" s="14" t="s">
        <v>7</v>
      </c>
      <c r="D296" s="25">
        <v>29824.5</v>
      </c>
      <c r="E296" s="28">
        <v>2526909</v>
      </c>
      <c r="F296" s="28">
        <v>2092407.26</v>
      </c>
      <c r="G296" s="29">
        <v>62346.415384615379</v>
      </c>
      <c r="H296" s="25" cm="1">
        <f t="array" ref="H296">INDEX(Таблица1[Количество складов],MATCH(1,(Таблица1[Дата]=Лист1!A296)*(Таблица1[Территория]=Лист1!C296),0))</f>
        <v>19</v>
      </c>
      <c r="I296" s="25" cm="1">
        <f t="array" ref="I296">INDEX(Таблица1[Количество заказов],MATCH(1,(Таблица1[Дата]=Лист1!A296)*(Таблица1[Территория]=Лист1!C296),0))</f>
        <v>1868</v>
      </c>
      <c r="J296" s="25" cm="1">
        <f t="array" ref="J296">INDEX(Таблица1[Количество клиентов],MATCH(1,(Таблица1[Дата]=Лист1!A296)*(Таблица1[Территория]=Лист1!C296),0))</f>
        <v>1706</v>
      </c>
    </row>
    <row r="297" spans="1:10" x14ac:dyDescent="0.3">
      <c r="A297" s="15">
        <v>43950</v>
      </c>
      <c r="B297" s="36">
        <f t="shared" si="4"/>
        <v>18</v>
      </c>
      <c r="C297" s="16" t="s">
        <v>9</v>
      </c>
      <c r="D297" s="26">
        <v>208351.5</v>
      </c>
      <c r="E297" s="30">
        <v>21615333</v>
      </c>
      <c r="F297" s="30">
        <v>15729720.814999998</v>
      </c>
      <c r="G297" s="31">
        <v>273156.71999999997</v>
      </c>
      <c r="H297" s="26" cm="1">
        <f t="array" ref="H297">INDEX(Таблица1[Количество складов],MATCH(1,(Таблица1[Дата]=Лист1!A297)*(Таблица1[Территория]=Лист1!C297),0))</f>
        <v>59</v>
      </c>
      <c r="I297" s="26" cm="1">
        <f t="array" ref="I297">INDEX(Таблица1[Количество заказов],MATCH(1,(Таблица1[Дата]=Лист1!A297)*(Таблица1[Территория]=Лист1!C297),0))</f>
        <v>13186</v>
      </c>
      <c r="J297" s="26" cm="1">
        <f t="array" ref="J297">INDEX(Таблица1[Количество клиентов],MATCH(1,(Таблица1[Дата]=Лист1!A297)*(Таблица1[Территория]=Лист1!C297),0))</f>
        <v>12251</v>
      </c>
    </row>
    <row r="298" spans="1:10" x14ac:dyDescent="0.3">
      <c r="A298" s="13">
        <v>43949</v>
      </c>
      <c r="B298" s="35">
        <f t="shared" si="4"/>
        <v>18</v>
      </c>
      <c r="C298" s="14" t="s">
        <v>9</v>
      </c>
      <c r="D298" s="25">
        <v>204637.5</v>
      </c>
      <c r="E298" s="28">
        <v>21114898.5</v>
      </c>
      <c r="F298" s="28">
        <v>15426373.358999999</v>
      </c>
      <c r="G298" s="29">
        <v>255889.23846153845</v>
      </c>
      <c r="H298" s="25" cm="1">
        <f t="array" ref="H298">INDEX(Таблица1[Количество складов],MATCH(1,(Таблица1[Дата]=Лист1!A298)*(Таблица1[Территория]=Лист1!C298),0))</f>
        <v>59</v>
      </c>
      <c r="I298" s="25" cm="1">
        <f t="array" ref="I298">INDEX(Таблица1[Количество заказов],MATCH(1,(Таблица1[Дата]=Лист1!A298)*(Таблица1[Территория]=Лист1!C298),0))</f>
        <v>12943</v>
      </c>
      <c r="J298" s="25" cm="1">
        <f t="array" ref="J298">INDEX(Таблица1[Количество клиентов],MATCH(1,(Таблица1[Дата]=Лист1!A298)*(Таблица1[Территория]=Лист1!C298),0))</f>
        <v>12072</v>
      </c>
    </row>
    <row r="299" spans="1:10" x14ac:dyDescent="0.3">
      <c r="A299" s="15">
        <v>43982</v>
      </c>
      <c r="B299" s="36">
        <f t="shared" si="4"/>
        <v>22</v>
      </c>
      <c r="C299" s="16" t="s">
        <v>7</v>
      </c>
      <c r="D299" s="26">
        <v>31372.5</v>
      </c>
      <c r="E299" s="30">
        <v>2794324.5</v>
      </c>
      <c r="F299" s="30">
        <v>2251714.5490000001</v>
      </c>
      <c r="G299" s="31">
        <v>37852.04366923077</v>
      </c>
      <c r="H299" s="26" cm="1">
        <f t="array" ref="H299">INDEX(Таблица1[Количество складов],MATCH(1,(Таблица1[Дата]=Лист1!A299)*(Таблица1[Территория]=Лист1!C299),0))</f>
        <v>21</v>
      </c>
      <c r="I299" s="26" cm="1">
        <f t="array" ref="I299">INDEX(Таблица1[Количество заказов],MATCH(1,(Таблица1[Дата]=Лист1!A299)*(Таблица1[Территория]=Лист1!C299),0))</f>
        <v>2056</v>
      </c>
      <c r="J299" s="26" cm="1">
        <f t="array" ref="J299">INDEX(Таблица1[Количество клиентов],MATCH(1,(Таблица1[Дата]=Лист1!A299)*(Таблица1[Территория]=Лист1!C299),0))</f>
        <v>1879</v>
      </c>
    </row>
    <row r="300" spans="1:10" x14ac:dyDescent="0.3">
      <c r="A300" s="13">
        <v>43981</v>
      </c>
      <c r="B300" s="35">
        <f t="shared" si="4"/>
        <v>22</v>
      </c>
      <c r="C300" s="14" t="s">
        <v>7</v>
      </c>
      <c r="D300" s="25">
        <v>34681.5</v>
      </c>
      <c r="E300" s="28">
        <v>3005334</v>
      </c>
      <c r="F300" s="28">
        <v>2408136.8190000001</v>
      </c>
      <c r="G300" s="29">
        <v>113231.09230769232</v>
      </c>
      <c r="H300" s="25" cm="1">
        <f t="array" ref="H300">INDEX(Таблица1[Количество складов],MATCH(1,(Таблица1[Дата]=Лист1!A300)*(Таблица1[Территория]=Лист1!C300),0))</f>
        <v>20</v>
      </c>
      <c r="I300" s="25" cm="1">
        <f t="array" ref="I300">INDEX(Таблица1[Количество заказов],MATCH(1,(Таблица1[Дата]=Лист1!A300)*(Таблица1[Территория]=Лист1!C300),0))</f>
        <v>2174</v>
      </c>
      <c r="J300" s="25" cm="1">
        <f t="array" ref="J300">INDEX(Таблица1[Количество клиентов],MATCH(1,(Таблица1[Дата]=Лист1!A300)*(Таблица1[Территория]=Лист1!C300),0))</f>
        <v>1957</v>
      </c>
    </row>
    <row r="301" spans="1:10" x14ac:dyDescent="0.3">
      <c r="A301" s="15">
        <v>43979</v>
      </c>
      <c r="B301" s="36">
        <f t="shared" si="4"/>
        <v>22</v>
      </c>
      <c r="C301" s="16" t="s">
        <v>7</v>
      </c>
      <c r="D301" s="26">
        <v>28197</v>
      </c>
      <c r="E301" s="30">
        <v>2559211.5</v>
      </c>
      <c r="F301" s="30">
        <v>2038847.0090000001</v>
      </c>
      <c r="G301" s="31">
        <v>74270.530769230769</v>
      </c>
      <c r="H301" s="26" cm="1">
        <f t="array" ref="H301">INDEX(Таблица1[Количество складов],MATCH(1,(Таблица1[Дата]=Лист1!A301)*(Таблица1[Территория]=Лист1!C301),0))</f>
        <v>20</v>
      </c>
      <c r="I301" s="26" cm="1">
        <f t="array" ref="I301">INDEX(Таблица1[Количество заказов],MATCH(1,(Таблица1[Дата]=Лист1!A301)*(Таблица1[Территория]=Лист1!C301),0))</f>
        <v>1875</v>
      </c>
      <c r="J301" s="26" cm="1">
        <f t="array" ref="J301">INDEX(Таблица1[Количество клиентов],MATCH(1,(Таблица1[Дата]=Лист1!A301)*(Таблица1[Территория]=Лист1!C301),0))</f>
        <v>1701</v>
      </c>
    </row>
    <row r="302" spans="1:10" x14ac:dyDescent="0.3">
      <c r="A302" s="13">
        <v>43967</v>
      </c>
      <c r="B302" s="35">
        <f t="shared" si="4"/>
        <v>20</v>
      </c>
      <c r="C302" s="14" t="s">
        <v>9</v>
      </c>
      <c r="D302" s="25">
        <v>236551.5</v>
      </c>
      <c r="E302" s="28">
        <v>23689383</v>
      </c>
      <c r="F302" s="28">
        <v>17329462.175999999</v>
      </c>
      <c r="G302" s="29">
        <v>258177.63846153844</v>
      </c>
      <c r="H302" s="25" cm="1">
        <f t="array" ref="H302">INDEX(Таблица1[Количество складов],MATCH(1,(Таблица1[Дата]=Лист1!A302)*(Таблица1[Территория]=Лист1!C302),0))</f>
        <v>60</v>
      </c>
      <c r="I302" s="25" cm="1">
        <f t="array" ref="I302">INDEX(Таблица1[Количество заказов],MATCH(1,(Таблица1[Дата]=Лист1!A302)*(Таблица1[Территория]=Лист1!C302),0))</f>
        <v>14049</v>
      </c>
      <c r="J302" s="25" cm="1">
        <f t="array" ref="J302">INDEX(Таблица1[Количество клиентов],MATCH(1,(Таблица1[Дата]=Лист1!A302)*(Таблица1[Территория]=Лист1!C302),0))</f>
        <v>13118</v>
      </c>
    </row>
    <row r="303" spans="1:10" x14ac:dyDescent="0.3">
      <c r="A303" s="15">
        <v>43970</v>
      </c>
      <c r="B303" s="36">
        <f t="shared" si="4"/>
        <v>21</v>
      </c>
      <c r="C303" s="16" t="s">
        <v>9</v>
      </c>
      <c r="D303" s="26">
        <v>223597.5</v>
      </c>
      <c r="E303" s="30">
        <v>21945858</v>
      </c>
      <c r="F303" s="30">
        <v>15975681.728</v>
      </c>
      <c r="G303" s="31">
        <v>296759.42307692306</v>
      </c>
      <c r="H303" s="26" cm="1">
        <f t="array" ref="H303">INDEX(Таблица1[Количество складов],MATCH(1,(Таблица1[Дата]=Лист1!A303)*(Таблица1[Территория]=Лист1!C303),0))</f>
        <v>60</v>
      </c>
      <c r="I303" s="26" cm="1">
        <f t="array" ref="I303">INDEX(Таблица1[Количество заказов],MATCH(1,(Таблица1[Дата]=Лист1!A303)*(Таблица1[Территория]=Лист1!C303),0))</f>
        <v>13867</v>
      </c>
      <c r="J303" s="26" cm="1">
        <f t="array" ref="J303">INDEX(Таблица1[Количество клиентов],MATCH(1,(Таблица1[Дата]=Лист1!A303)*(Таблица1[Территория]=Лист1!C303),0))</f>
        <v>12987</v>
      </c>
    </row>
    <row r="304" spans="1:10" x14ac:dyDescent="0.3">
      <c r="A304" s="13">
        <v>43968</v>
      </c>
      <c r="B304" s="35">
        <f t="shared" si="4"/>
        <v>20</v>
      </c>
      <c r="C304" s="14" t="s">
        <v>9</v>
      </c>
      <c r="D304" s="25">
        <v>193363.5</v>
      </c>
      <c r="E304" s="28">
        <v>19546386</v>
      </c>
      <c r="F304" s="28">
        <v>14278298.844000001</v>
      </c>
      <c r="G304" s="29">
        <v>264289.06153846154</v>
      </c>
      <c r="H304" s="25" cm="1">
        <f t="array" ref="H304">INDEX(Таблица1[Количество складов],MATCH(1,(Таблица1[Дата]=Лист1!A304)*(Таблица1[Территория]=Лист1!C304),0))</f>
        <v>60</v>
      </c>
      <c r="I304" s="25" cm="1">
        <f t="array" ref="I304">INDEX(Таблица1[Количество заказов],MATCH(1,(Таблица1[Дата]=Лист1!A304)*(Таблица1[Территория]=Лист1!C304),0))</f>
        <v>11698</v>
      </c>
      <c r="J304" s="25" cm="1">
        <f t="array" ref="J304">INDEX(Таблица1[Количество клиентов],MATCH(1,(Таблица1[Дата]=Лист1!A304)*(Таблица1[Территория]=Лист1!C304),0))</f>
        <v>10989</v>
      </c>
    </row>
    <row r="305" spans="1:10" x14ac:dyDescent="0.3">
      <c r="A305" s="15">
        <v>43960</v>
      </c>
      <c r="B305" s="36">
        <f t="shared" si="4"/>
        <v>19</v>
      </c>
      <c r="C305" s="16" t="s">
        <v>9</v>
      </c>
      <c r="D305" s="26">
        <v>188319</v>
      </c>
      <c r="E305" s="30">
        <v>19218631.5</v>
      </c>
      <c r="F305" s="30">
        <v>13973128.512</v>
      </c>
      <c r="G305" s="31">
        <v>403874.8839461538</v>
      </c>
      <c r="H305" s="26" cm="1">
        <f t="array" ref="H305">INDEX(Таблица1[Количество складов],MATCH(1,(Таблица1[Дата]=Лист1!A305)*(Таблица1[Территория]=Лист1!C305),0))</f>
        <v>59</v>
      </c>
      <c r="I305" s="26" cm="1">
        <f t="array" ref="I305">INDEX(Таблица1[Количество заказов],MATCH(1,(Таблица1[Дата]=Лист1!A305)*(Таблица1[Территория]=Лист1!C305),0))</f>
        <v>12016</v>
      </c>
      <c r="J305" s="26" cm="1">
        <f t="array" ref="J305">INDEX(Таблица1[Количество клиентов],MATCH(1,(Таблица1[Дата]=Лист1!A305)*(Таблица1[Территория]=Лист1!C305),0))</f>
        <v>11137</v>
      </c>
    </row>
    <row r="306" spans="1:10" x14ac:dyDescent="0.3">
      <c r="A306" s="13">
        <v>43955</v>
      </c>
      <c r="B306" s="35">
        <f t="shared" si="4"/>
        <v>19</v>
      </c>
      <c r="C306" s="14" t="s">
        <v>9</v>
      </c>
      <c r="D306" s="25">
        <v>237544.5</v>
      </c>
      <c r="E306" s="28">
        <v>24292218</v>
      </c>
      <c r="F306" s="28">
        <v>17650186.028999999</v>
      </c>
      <c r="G306" s="29">
        <v>347608.63846153842</v>
      </c>
      <c r="H306" s="25" cm="1">
        <f t="array" ref="H306">INDEX(Таблица1[Количество складов],MATCH(1,(Таблица1[Дата]=Лист1!A306)*(Таблица1[Территория]=Лист1!C306),0))</f>
        <v>59</v>
      </c>
      <c r="I306" s="25" cm="1">
        <f t="array" ref="I306">INDEX(Таблица1[Количество заказов],MATCH(1,(Таблица1[Дата]=Лист1!A306)*(Таблица1[Территория]=Лист1!C306),0))</f>
        <v>14423</v>
      </c>
      <c r="J306" s="25" cm="1">
        <f t="array" ref="J306">INDEX(Таблица1[Количество клиентов],MATCH(1,(Таблица1[Дата]=Лист1!A306)*(Таблица1[Территория]=Лист1!C306),0))</f>
        <v>13432</v>
      </c>
    </row>
    <row r="307" spans="1:10" x14ac:dyDescent="0.3">
      <c r="A307" s="15">
        <v>43950</v>
      </c>
      <c r="B307" s="36">
        <f t="shared" si="4"/>
        <v>18</v>
      </c>
      <c r="C307" s="16" t="s">
        <v>8</v>
      </c>
      <c r="D307" s="26">
        <v>203209.5</v>
      </c>
      <c r="E307" s="30">
        <v>20871391.5</v>
      </c>
      <c r="F307" s="30">
        <v>15206983.089</v>
      </c>
      <c r="G307" s="31">
        <v>284467.66153846157</v>
      </c>
      <c r="H307" s="26" cm="1">
        <f t="array" ref="H307">INDEX(Таблица1[Количество складов],MATCH(1,(Таблица1[Дата]=Лист1!A307)*(Таблица1[Территория]=Лист1!C307),0))</f>
        <v>54</v>
      </c>
      <c r="I307" s="26" cm="1">
        <f t="array" ref="I307">INDEX(Таблица1[Количество заказов],MATCH(1,(Таблица1[Дата]=Лист1!A307)*(Таблица1[Территория]=Лист1!C307),0))</f>
        <v>12747</v>
      </c>
      <c r="J307" s="26" cm="1">
        <f t="array" ref="J307">INDEX(Таблица1[Количество клиентов],MATCH(1,(Таблица1[Дата]=Лист1!A307)*(Таблица1[Территория]=Лист1!C307),0))</f>
        <v>11884</v>
      </c>
    </row>
    <row r="308" spans="1:10" x14ac:dyDescent="0.3">
      <c r="A308" s="13">
        <v>43953</v>
      </c>
      <c r="B308" s="35">
        <f t="shared" si="4"/>
        <v>18</v>
      </c>
      <c r="C308" s="14" t="s">
        <v>9</v>
      </c>
      <c r="D308" s="25">
        <v>185979</v>
      </c>
      <c r="E308" s="28">
        <v>19625364</v>
      </c>
      <c r="F308" s="28">
        <v>14386025.838000001</v>
      </c>
      <c r="G308" s="29">
        <v>361439.69230769225</v>
      </c>
      <c r="H308" s="25" cm="1">
        <f t="array" ref="H308">INDEX(Таблица1[Количество складов],MATCH(1,(Таблица1[Дата]=Лист1!A308)*(Таблица1[Территория]=Лист1!C308),0))</f>
        <v>59</v>
      </c>
      <c r="I308" s="25" cm="1">
        <f t="array" ref="I308">INDEX(Таблица1[Количество заказов],MATCH(1,(Таблица1[Дата]=Лист1!A308)*(Таблица1[Территория]=Лист1!C308),0))</f>
        <v>12429</v>
      </c>
      <c r="J308" s="25" cm="1">
        <f t="array" ref="J308">INDEX(Таблица1[Количество клиентов],MATCH(1,(Таблица1[Дата]=Лист1!A308)*(Таблица1[Территория]=Лист1!C308),0))</f>
        <v>11477</v>
      </c>
    </row>
    <row r="309" spans="1:10" x14ac:dyDescent="0.3">
      <c r="A309" s="15">
        <v>43977</v>
      </c>
      <c r="B309" s="36">
        <f t="shared" si="4"/>
        <v>22</v>
      </c>
      <c r="C309" s="16" t="s">
        <v>9</v>
      </c>
      <c r="D309" s="26">
        <v>244905</v>
      </c>
      <c r="E309" s="30">
        <v>25163431.5</v>
      </c>
      <c r="F309" s="30">
        <v>18210825.697000001</v>
      </c>
      <c r="G309" s="31">
        <v>272401.2</v>
      </c>
      <c r="H309" s="26" cm="1">
        <f t="array" ref="H309">INDEX(Таблица1[Количество складов],MATCH(1,(Таблица1[Дата]=Лист1!A309)*(Таблица1[Территория]=Лист1!C309),0))</f>
        <v>59</v>
      </c>
      <c r="I309" s="26" cm="1">
        <f t="array" ref="I309">INDEX(Таблица1[Количество заказов],MATCH(1,(Таблица1[Дата]=Лист1!A309)*(Таблица1[Территория]=Лист1!C309),0))</f>
        <v>15369</v>
      </c>
      <c r="J309" s="26" cm="1">
        <f t="array" ref="J309">INDEX(Таблица1[Количество клиентов],MATCH(1,(Таблица1[Дата]=Лист1!A309)*(Таблица1[Территория]=Лист1!C309),0))</f>
        <v>14299</v>
      </c>
    </row>
    <row r="310" spans="1:10" x14ac:dyDescent="0.3">
      <c r="A310" s="13">
        <v>43952</v>
      </c>
      <c r="B310" s="35">
        <f t="shared" si="4"/>
        <v>18</v>
      </c>
      <c r="C310" s="14" t="s">
        <v>9</v>
      </c>
      <c r="D310" s="25">
        <v>239409</v>
      </c>
      <c r="E310" s="28">
        <v>25413351</v>
      </c>
      <c r="F310" s="28">
        <v>18463277.771000002</v>
      </c>
      <c r="G310" s="29">
        <v>369443.39999999997</v>
      </c>
      <c r="H310" s="25" cm="1">
        <f t="array" ref="H310">INDEX(Таблица1[Количество складов],MATCH(1,(Таблица1[Дата]=Лист1!A310)*(Таблица1[Территория]=Лист1!C310),0))</f>
        <v>59</v>
      </c>
      <c r="I310" s="25" cm="1">
        <f t="array" ref="I310">INDEX(Таблица1[Количество заказов],MATCH(1,(Таблица1[Дата]=Лист1!A310)*(Таблица1[Территория]=Лист1!C310),0))</f>
        <v>15222</v>
      </c>
      <c r="J310" s="25" cm="1">
        <f t="array" ref="J310">INDEX(Таблица1[Количество клиентов],MATCH(1,(Таблица1[Дата]=Лист1!A310)*(Таблица1[Территория]=Лист1!C310),0))</f>
        <v>13873</v>
      </c>
    </row>
    <row r="311" spans="1:10" x14ac:dyDescent="0.3">
      <c r="A311" s="15">
        <v>43963</v>
      </c>
      <c r="B311" s="36">
        <f t="shared" si="4"/>
        <v>20</v>
      </c>
      <c r="C311" s="16" t="s">
        <v>9</v>
      </c>
      <c r="D311" s="26">
        <v>192886.5</v>
      </c>
      <c r="E311" s="30">
        <v>19205179.5</v>
      </c>
      <c r="F311" s="30">
        <v>13834210.461999999</v>
      </c>
      <c r="G311" s="31">
        <v>383344.65076923074</v>
      </c>
      <c r="H311" s="26" cm="1">
        <f t="array" ref="H311">INDEX(Таблица1[Количество складов],MATCH(1,(Таблица1[Дата]=Лист1!A311)*(Таблица1[Территория]=Лист1!C311),0))</f>
        <v>60</v>
      </c>
      <c r="I311" s="26" cm="1">
        <f t="array" ref="I311">INDEX(Таблица1[Количество заказов],MATCH(1,(Таблица1[Дата]=Лист1!A311)*(Таблица1[Территория]=Лист1!C311),0))</f>
        <v>12000</v>
      </c>
      <c r="J311" s="26" cm="1">
        <f t="array" ref="J311">INDEX(Таблица1[Количество клиентов],MATCH(1,(Таблица1[Дата]=Лист1!A311)*(Таблица1[Территория]=Лист1!C311),0))</f>
        <v>11194</v>
      </c>
    </row>
    <row r="312" spans="1:10" x14ac:dyDescent="0.3">
      <c r="A312" s="13">
        <v>43972</v>
      </c>
      <c r="B312" s="35">
        <f t="shared" si="4"/>
        <v>21</v>
      </c>
      <c r="C312" s="14" t="s">
        <v>9</v>
      </c>
      <c r="D312" s="25">
        <v>224233.5</v>
      </c>
      <c r="E312" s="28">
        <v>22253295</v>
      </c>
      <c r="F312" s="28">
        <v>16496134.313999999</v>
      </c>
      <c r="G312" s="29">
        <v>334550.50769230764</v>
      </c>
      <c r="H312" s="25" cm="1">
        <f t="array" ref="H312">INDEX(Таблица1[Количество складов],MATCH(1,(Таблица1[Дата]=Лист1!A312)*(Таблица1[Территория]=Лист1!C312),0))</f>
        <v>60</v>
      </c>
      <c r="I312" s="25" cm="1">
        <f t="array" ref="I312">INDEX(Таблица1[Количество заказов],MATCH(1,(Таблица1[Дата]=Лист1!A312)*(Таблица1[Территория]=Лист1!C312),0))</f>
        <v>14005</v>
      </c>
      <c r="J312" s="25" cm="1">
        <f t="array" ref="J312">INDEX(Таблица1[Количество клиентов],MATCH(1,(Таблица1[Дата]=Лист1!A312)*(Таблица1[Территория]=Лист1!C312),0))</f>
        <v>13002</v>
      </c>
    </row>
    <row r="313" spans="1:10" x14ac:dyDescent="0.3">
      <c r="A313" s="15">
        <v>43971</v>
      </c>
      <c r="B313" s="36">
        <f t="shared" si="4"/>
        <v>21</v>
      </c>
      <c r="C313" s="16" t="s">
        <v>9</v>
      </c>
      <c r="D313" s="26">
        <v>219622.5</v>
      </c>
      <c r="E313" s="30">
        <v>21959286</v>
      </c>
      <c r="F313" s="30">
        <v>15958453.927999999</v>
      </c>
      <c r="G313" s="31">
        <v>417117.17692307686</v>
      </c>
      <c r="H313" s="26" cm="1">
        <f t="array" ref="H313">INDEX(Таблица1[Количество складов],MATCH(1,(Таблица1[Дата]=Лист1!A313)*(Таблица1[Территория]=Лист1!C313),0))</f>
        <v>60</v>
      </c>
      <c r="I313" s="26" cm="1">
        <f t="array" ref="I313">INDEX(Таблица1[Количество заказов],MATCH(1,(Таблица1[Дата]=Лист1!A313)*(Таблица1[Территория]=Лист1!C313),0))</f>
        <v>13792</v>
      </c>
      <c r="J313" s="26" cm="1">
        <f t="array" ref="J313">INDEX(Таблица1[Количество клиентов],MATCH(1,(Таблица1[Дата]=Лист1!A313)*(Таблица1[Территория]=Лист1!C313),0))</f>
        <v>12834</v>
      </c>
    </row>
    <row r="314" spans="1:10" x14ac:dyDescent="0.3">
      <c r="A314" s="13">
        <v>43956</v>
      </c>
      <c r="B314" s="35">
        <f t="shared" si="4"/>
        <v>19</v>
      </c>
      <c r="C314" s="14" t="s">
        <v>9</v>
      </c>
      <c r="D314" s="25">
        <v>213582</v>
      </c>
      <c r="E314" s="28">
        <v>21919435.5</v>
      </c>
      <c r="F314" s="28">
        <v>15790923.194999998</v>
      </c>
      <c r="G314" s="29">
        <v>365011.08061538462</v>
      </c>
      <c r="H314" s="25" cm="1">
        <f t="array" ref="H314">INDEX(Таблица1[Количество складов],MATCH(1,(Таблица1[Дата]=Лист1!A314)*(Таблица1[Территория]=Лист1!C314),0))</f>
        <v>59</v>
      </c>
      <c r="I314" s="25" cm="1">
        <f t="array" ref="I314">INDEX(Таблица1[Количество заказов],MATCH(1,(Таблица1[Дата]=Лист1!A314)*(Таблица1[Территория]=Лист1!C314),0))</f>
        <v>13469</v>
      </c>
      <c r="J314" s="25" cm="1">
        <f t="array" ref="J314">INDEX(Таблица1[Количество клиентов],MATCH(1,(Таблица1[Дата]=Лист1!A314)*(Таблица1[Территория]=Лист1!C314),0))</f>
        <v>12486</v>
      </c>
    </row>
    <row r="315" spans="1:10" x14ac:dyDescent="0.3">
      <c r="A315" s="15">
        <v>43949</v>
      </c>
      <c r="B315" s="36">
        <f t="shared" si="4"/>
        <v>18</v>
      </c>
      <c r="C315" s="16" t="s">
        <v>8</v>
      </c>
      <c r="D315" s="26">
        <v>195705</v>
      </c>
      <c r="E315" s="30">
        <v>20003263.5</v>
      </c>
      <c r="F315" s="30">
        <v>14633542.982000001</v>
      </c>
      <c r="G315" s="31">
        <v>268185.43076923076</v>
      </c>
      <c r="H315" s="26" cm="1">
        <f t="array" ref="H315">INDEX(Таблица1[Количество складов],MATCH(1,(Таблица1[Дата]=Лист1!A315)*(Таблица1[Территория]=Лист1!C315),0))</f>
        <v>54</v>
      </c>
      <c r="I315" s="26" cm="1">
        <f t="array" ref="I315">INDEX(Таблица1[Количество заказов],MATCH(1,(Таблица1[Дата]=Лист1!A315)*(Таблица1[Территория]=Лист1!C315),0))</f>
        <v>12306</v>
      </c>
      <c r="J315" s="26" cm="1">
        <f t="array" ref="J315">INDEX(Таблица1[Количество клиентов],MATCH(1,(Таблица1[Дата]=Лист1!A315)*(Таблица1[Территория]=Лист1!C315),0))</f>
        <v>11532</v>
      </c>
    </row>
    <row r="316" spans="1:10" x14ac:dyDescent="0.3">
      <c r="A316" s="13">
        <v>43964</v>
      </c>
      <c r="B316" s="35">
        <f t="shared" si="4"/>
        <v>20</v>
      </c>
      <c r="C316" s="14" t="s">
        <v>9</v>
      </c>
      <c r="D316" s="25">
        <v>193722</v>
      </c>
      <c r="E316" s="28">
        <v>19437273</v>
      </c>
      <c r="F316" s="28">
        <v>13979092.230999999</v>
      </c>
      <c r="G316" s="29">
        <v>418713.96153846156</v>
      </c>
      <c r="H316" s="25" cm="1">
        <f t="array" ref="H316">INDEX(Таблица1[Количество складов],MATCH(1,(Таблица1[Дата]=Лист1!A316)*(Таблица1[Территория]=Лист1!C316),0))</f>
        <v>60</v>
      </c>
      <c r="I316" s="25" cm="1">
        <f t="array" ref="I316">INDEX(Таблица1[Количество заказов],MATCH(1,(Таблица1[Дата]=Лист1!A316)*(Таблица1[Территория]=Лист1!C316),0))</f>
        <v>12007</v>
      </c>
      <c r="J316" s="25" cm="1">
        <f t="array" ref="J316">INDEX(Таблица1[Количество клиентов],MATCH(1,(Таблица1[Дата]=Лист1!A316)*(Таблица1[Территория]=Лист1!C316),0))</f>
        <v>11245</v>
      </c>
    </row>
    <row r="317" spans="1:10" x14ac:dyDescent="0.3">
      <c r="A317" s="15">
        <v>43954</v>
      </c>
      <c r="B317" s="36">
        <f t="shared" si="4"/>
        <v>18</v>
      </c>
      <c r="C317" s="16" t="s">
        <v>9</v>
      </c>
      <c r="D317" s="26">
        <v>257215.5</v>
      </c>
      <c r="E317" s="30">
        <v>26492278.5</v>
      </c>
      <c r="F317" s="30">
        <v>19179229.932</v>
      </c>
      <c r="G317" s="31">
        <v>254778.07384615383</v>
      </c>
      <c r="H317" s="26" cm="1">
        <f t="array" ref="H317">INDEX(Таблица1[Количество складов],MATCH(1,(Таблица1[Дата]=Лист1!A317)*(Таблица1[Территория]=Лист1!C317),0))</f>
        <v>59</v>
      </c>
      <c r="I317" s="26" cm="1">
        <f t="array" ref="I317">INDEX(Таблица1[Количество заказов],MATCH(1,(Таблица1[Дата]=Лист1!A317)*(Таблица1[Территория]=Лист1!C317),0))</f>
        <v>15277</v>
      </c>
      <c r="J317" s="26" cm="1">
        <f t="array" ref="J317">INDEX(Таблица1[Количество клиентов],MATCH(1,(Таблица1[Дата]=Лист1!A317)*(Таблица1[Территория]=Лист1!C317),0))</f>
        <v>14163</v>
      </c>
    </row>
    <row r="318" spans="1:10" x14ac:dyDescent="0.3">
      <c r="A318" s="13">
        <v>43957</v>
      </c>
      <c r="B318" s="35">
        <f t="shared" si="4"/>
        <v>19</v>
      </c>
      <c r="C318" s="14" t="s">
        <v>9</v>
      </c>
      <c r="D318" s="25">
        <v>224779.5</v>
      </c>
      <c r="E318" s="28">
        <v>23032992</v>
      </c>
      <c r="F318" s="28">
        <v>16792969.817999996</v>
      </c>
      <c r="G318" s="29">
        <v>443086.25303076918</v>
      </c>
      <c r="H318" s="25" cm="1">
        <f t="array" ref="H318">INDEX(Таблица1[Количество складов],MATCH(1,(Таблица1[Дата]=Лист1!A318)*(Таблица1[Территория]=Лист1!C318),0))</f>
        <v>59</v>
      </c>
      <c r="I318" s="25" cm="1">
        <f t="array" ref="I318">INDEX(Таблица1[Количество заказов],MATCH(1,(Таблица1[Дата]=Лист1!A318)*(Таблица1[Территория]=Лист1!C318),0))</f>
        <v>14103</v>
      </c>
      <c r="J318" s="25" cm="1">
        <f t="array" ref="J318">INDEX(Таблица1[Количество клиентов],MATCH(1,(Таблица1[Дата]=Лист1!A318)*(Таблица1[Территория]=Лист1!C318),0))</f>
        <v>13118</v>
      </c>
    </row>
    <row r="319" spans="1:10" x14ac:dyDescent="0.3">
      <c r="A319" s="15">
        <v>43974</v>
      </c>
      <c r="B319" s="36">
        <f t="shared" si="4"/>
        <v>21</v>
      </c>
      <c r="C319" s="16" t="s">
        <v>9</v>
      </c>
      <c r="D319" s="26">
        <v>292018.5</v>
      </c>
      <c r="E319" s="30">
        <v>28590910.5</v>
      </c>
      <c r="F319" s="30">
        <v>21740920.338999998</v>
      </c>
      <c r="G319" s="31">
        <v>206427.73076923075</v>
      </c>
      <c r="H319" s="26" cm="1">
        <f t="array" ref="H319">INDEX(Таблица1[Количество складов],MATCH(1,(Таблица1[Дата]=Лист1!A319)*(Таблица1[Территория]=Лист1!C319),0))</f>
        <v>60</v>
      </c>
      <c r="I319" s="26" cm="1">
        <f t="array" ref="I319">INDEX(Таблица1[Количество заказов],MATCH(1,(Таблица1[Дата]=Лист1!A319)*(Таблица1[Территория]=Лист1!C319),0))</f>
        <v>17295</v>
      </c>
      <c r="J319" s="26" cm="1">
        <f t="array" ref="J319">INDEX(Таблица1[Количество клиентов],MATCH(1,(Таблица1[Дата]=Лист1!A319)*(Таблица1[Территория]=Лист1!C319),0))</f>
        <v>16010</v>
      </c>
    </row>
    <row r="320" spans="1:10" x14ac:dyDescent="0.3">
      <c r="A320" s="13">
        <v>43976</v>
      </c>
      <c r="B320" s="35">
        <f t="shared" si="4"/>
        <v>22</v>
      </c>
      <c r="C320" s="14" t="s">
        <v>9</v>
      </c>
      <c r="D320" s="25">
        <v>198751.5</v>
      </c>
      <c r="E320" s="28">
        <v>20582743.5</v>
      </c>
      <c r="F320" s="28">
        <v>14894008.652000001</v>
      </c>
      <c r="G320" s="29">
        <v>316452.66153846157</v>
      </c>
      <c r="H320" s="25" cm="1">
        <f t="array" ref="H320">INDEX(Таблица1[Количество складов],MATCH(1,(Таблица1[Дата]=Лист1!A320)*(Таблица1[Территория]=Лист1!C320),0))</f>
        <v>59</v>
      </c>
      <c r="I320" s="25" cm="1">
        <f t="array" ref="I320">INDEX(Таблица1[Количество заказов],MATCH(1,(Таблица1[Дата]=Лист1!A320)*(Таблица1[Территория]=Лист1!C320),0))</f>
        <v>12983</v>
      </c>
      <c r="J320" s="25" cm="1">
        <f t="array" ref="J320">INDEX(Таблица1[Количество клиентов],MATCH(1,(Таблица1[Дата]=Лист1!A320)*(Таблица1[Территория]=Лист1!C320),0))</f>
        <v>12056</v>
      </c>
    </row>
    <row r="321" spans="1:10" x14ac:dyDescent="0.3">
      <c r="A321" s="15">
        <v>43951</v>
      </c>
      <c r="B321" s="36">
        <f t="shared" si="4"/>
        <v>18</v>
      </c>
      <c r="C321" s="16" t="s">
        <v>9</v>
      </c>
      <c r="D321" s="26">
        <v>214386</v>
      </c>
      <c r="E321" s="30">
        <v>22530000</v>
      </c>
      <c r="F321" s="30">
        <v>16370527.077</v>
      </c>
      <c r="G321" s="31">
        <v>115618.05384615384</v>
      </c>
      <c r="H321" s="26" cm="1">
        <f t="array" ref="H321">INDEX(Таблица1[Количество складов],MATCH(1,(Таблица1[Дата]=Лист1!A321)*(Таблица1[Территория]=Лист1!C321),0))</f>
        <v>59</v>
      </c>
      <c r="I321" s="26" cm="1">
        <f t="array" ref="I321">INDEX(Таблица1[Количество заказов],MATCH(1,(Таблица1[Дата]=Лист1!A321)*(Таблица1[Территория]=Лист1!C321),0))</f>
        <v>13251</v>
      </c>
      <c r="J321" s="26" cm="1">
        <f t="array" ref="J321">INDEX(Таблица1[Количество клиентов],MATCH(1,(Таблица1[Дата]=Лист1!A321)*(Таблица1[Территория]=Лист1!C321),0))</f>
        <v>12255</v>
      </c>
    </row>
    <row r="322" spans="1:10" x14ac:dyDescent="0.3">
      <c r="A322" s="13">
        <v>43961</v>
      </c>
      <c r="B322" s="35">
        <f t="shared" si="4"/>
        <v>19</v>
      </c>
      <c r="C322" s="14" t="s">
        <v>9</v>
      </c>
      <c r="D322" s="25">
        <v>243825</v>
      </c>
      <c r="E322" s="28">
        <v>24890404.5</v>
      </c>
      <c r="F322" s="28">
        <v>18159589.107999999</v>
      </c>
      <c r="G322" s="29">
        <v>258558.49999999997</v>
      </c>
      <c r="H322" s="25" cm="1">
        <f t="array" ref="H322">INDEX(Таблица1[Количество складов],MATCH(1,(Таблица1[Дата]=Лист1!A322)*(Таблица1[Территория]=Лист1!C322),0))</f>
        <v>59</v>
      </c>
      <c r="I322" s="25" cm="1">
        <f t="array" ref="I322">INDEX(Таблица1[Количество заказов],MATCH(1,(Таблица1[Дата]=Лист1!A322)*(Таблица1[Территория]=Лист1!C322),0))</f>
        <v>14569</v>
      </c>
      <c r="J322" s="25" cm="1">
        <f t="array" ref="J322">INDEX(Таблица1[Количество клиентов],MATCH(1,(Таблица1[Дата]=Лист1!A322)*(Таблица1[Территория]=Лист1!C322),0))</f>
        <v>13566</v>
      </c>
    </row>
    <row r="323" spans="1:10" x14ac:dyDescent="0.3">
      <c r="A323" s="15">
        <v>43959</v>
      </c>
      <c r="B323" s="36">
        <f t="shared" ref="B323:B386" si="5">_xlfn.ISOWEEKNUM(A323)</f>
        <v>19</v>
      </c>
      <c r="C323" s="16" t="s">
        <v>9</v>
      </c>
      <c r="D323" s="26">
        <v>232701</v>
      </c>
      <c r="E323" s="30">
        <v>23881948.5</v>
      </c>
      <c r="F323" s="30">
        <v>17462223.403999999</v>
      </c>
      <c r="G323" s="31">
        <v>512464.9846153846</v>
      </c>
      <c r="H323" s="26" cm="1">
        <f t="array" ref="H323">INDEX(Таблица1[Количество складов],MATCH(1,(Таблица1[Дата]=Лист1!A323)*(Таблица1[Территория]=Лист1!C323),0))</f>
        <v>59</v>
      </c>
      <c r="I323" s="26" cm="1">
        <f t="array" ref="I323">INDEX(Таблица1[Количество заказов],MATCH(1,(Таблица1[Дата]=Лист1!A323)*(Таблица1[Территория]=Лист1!C323),0))</f>
        <v>14098</v>
      </c>
      <c r="J323" s="26" cm="1">
        <f t="array" ref="J323">INDEX(Таблица1[Количество клиентов],MATCH(1,(Таблица1[Дата]=Лист1!A323)*(Таблица1[Территория]=Лист1!C323),0))</f>
        <v>13106</v>
      </c>
    </row>
    <row r="324" spans="1:10" x14ac:dyDescent="0.3">
      <c r="A324" s="13">
        <v>43958</v>
      </c>
      <c r="B324" s="35">
        <f t="shared" si="5"/>
        <v>19</v>
      </c>
      <c r="C324" s="14" t="s">
        <v>9</v>
      </c>
      <c r="D324" s="25">
        <v>219411</v>
      </c>
      <c r="E324" s="28">
        <v>22460130</v>
      </c>
      <c r="F324" s="28">
        <v>16627687.641000001</v>
      </c>
      <c r="G324" s="29">
        <v>518998.75384615385</v>
      </c>
      <c r="H324" s="25" cm="1">
        <f t="array" ref="H324">INDEX(Таблица1[Количество складов],MATCH(1,(Таблица1[Дата]=Лист1!A324)*(Таблица1[Территория]=Лист1!C324),0))</f>
        <v>59</v>
      </c>
      <c r="I324" s="25" cm="1">
        <f t="array" ref="I324">INDEX(Таблица1[Количество заказов],MATCH(1,(Таблица1[Дата]=Лист1!A324)*(Таблица1[Территория]=Лист1!C324),0))</f>
        <v>13495</v>
      </c>
      <c r="J324" s="25" cm="1">
        <f t="array" ref="J324">INDEX(Таблица1[Количество клиентов],MATCH(1,(Таблица1[Дата]=Лист1!A324)*(Таблица1[Территория]=Лист1!C324),0))</f>
        <v>12517</v>
      </c>
    </row>
    <row r="325" spans="1:10" x14ac:dyDescent="0.3">
      <c r="A325" s="15">
        <v>43975</v>
      </c>
      <c r="B325" s="36">
        <f t="shared" si="5"/>
        <v>21</v>
      </c>
      <c r="C325" s="16" t="s">
        <v>9</v>
      </c>
      <c r="D325" s="26">
        <v>200029.5</v>
      </c>
      <c r="E325" s="30">
        <v>19959801</v>
      </c>
      <c r="F325" s="30">
        <v>15125624.641999999</v>
      </c>
      <c r="G325" s="31">
        <v>318671.85465384612</v>
      </c>
      <c r="H325" s="26" cm="1">
        <f t="array" ref="H325">INDEX(Таблица1[Количество складов],MATCH(1,(Таблица1[Дата]=Лист1!A325)*(Таблица1[Территория]=Лист1!C325),0))</f>
        <v>60</v>
      </c>
      <c r="I325" s="26" cm="1">
        <f t="array" ref="I325">INDEX(Таблица1[Количество заказов],MATCH(1,(Таблица1[Дата]=Лист1!A325)*(Таблица1[Территория]=Лист1!C325),0))</f>
        <v>12822</v>
      </c>
      <c r="J325" s="26" cm="1">
        <f t="array" ref="J325">INDEX(Таблица1[Количество клиентов],MATCH(1,(Таблица1[Дата]=Лист1!A325)*(Таблица1[Территория]=Лист1!C325),0))</f>
        <v>11916</v>
      </c>
    </row>
    <row r="326" spans="1:10" x14ac:dyDescent="0.3">
      <c r="A326" s="13">
        <v>43967</v>
      </c>
      <c r="B326" s="35">
        <f t="shared" si="5"/>
        <v>20</v>
      </c>
      <c r="C326" s="14" t="s">
        <v>8</v>
      </c>
      <c r="D326" s="25">
        <v>225480</v>
      </c>
      <c r="E326" s="28">
        <v>22355338.5</v>
      </c>
      <c r="F326" s="28">
        <v>16443448.491999999</v>
      </c>
      <c r="G326" s="29">
        <v>291468.59999999998</v>
      </c>
      <c r="H326" s="25" cm="1">
        <f t="array" ref="H326">INDEX(Таблица1[Количество складов],MATCH(1,(Таблица1[Дата]=Лист1!A326)*(Таблица1[Территория]=Лист1!C326),0))</f>
        <v>54</v>
      </c>
      <c r="I326" s="25" cm="1">
        <f t="array" ref="I326">INDEX(Таблица1[Количество заказов],MATCH(1,(Таблица1[Дата]=Лист1!A326)*(Таблица1[Территория]=Лист1!C326),0))</f>
        <v>13170</v>
      </c>
      <c r="J326" s="25" cm="1">
        <f t="array" ref="J326">INDEX(Таблица1[Количество клиентов],MATCH(1,(Таблица1[Дата]=Лист1!A326)*(Таблица1[Территория]=Лист1!C326),0))</f>
        <v>12299</v>
      </c>
    </row>
    <row r="327" spans="1:10" x14ac:dyDescent="0.3">
      <c r="A327" s="15">
        <v>43970</v>
      </c>
      <c r="B327" s="36">
        <f t="shared" si="5"/>
        <v>21</v>
      </c>
      <c r="C327" s="16" t="s">
        <v>8</v>
      </c>
      <c r="D327" s="26">
        <v>211453.5</v>
      </c>
      <c r="E327" s="30">
        <v>20590072.5</v>
      </c>
      <c r="F327" s="30">
        <v>15078027.685000001</v>
      </c>
      <c r="G327" s="31">
        <v>293452.29237692308</v>
      </c>
      <c r="H327" s="26" cm="1">
        <f t="array" ref="H327">INDEX(Таблица1[Количество складов],MATCH(1,(Таблица1[Дата]=Лист1!A327)*(Таблица1[Территория]=Лист1!C327),0))</f>
        <v>54</v>
      </c>
      <c r="I327" s="26" cm="1">
        <f t="array" ref="I327">INDEX(Таблица1[Количество заказов],MATCH(1,(Таблица1[Дата]=Лист1!A327)*(Таблица1[Территория]=Лист1!C327),0))</f>
        <v>13070</v>
      </c>
      <c r="J327" s="26" cm="1">
        <f t="array" ref="J327">INDEX(Таблица1[Количество клиентов],MATCH(1,(Таблица1[Дата]=Лист1!A327)*(Таблица1[Территория]=Лист1!C327),0))</f>
        <v>12244</v>
      </c>
    </row>
    <row r="328" spans="1:10" x14ac:dyDescent="0.3">
      <c r="A328" s="13">
        <v>43968</v>
      </c>
      <c r="B328" s="35">
        <f t="shared" si="5"/>
        <v>20</v>
      </c>
      <c r="C328" s="14" t="s">
        <v>8</v>
      </c>
      <c r="D328" s="25">
        <v>184801.5</v>
      </c>
      <c r="E328" s="28">
        <v>18449091</v>
      </c>
      <c r="F328" s="28">
        <v>13533023.127999999</v>
      </c>
      <c r="G328" s="29">
        <v>246229.69714615386</v>
      </c>
      <c r="H328" s="25" cm="1">
        <f t="array" ref="H328">INDEX(Таблица1[Количество складов],MATCH(1,(Таблица1[Дата]=Лист1!A328)*(Таблица1[Территория]=Лист1!C328),0))</f>
        <v>54</v>
      </c>
      <c r="I328" s="25" cm="1">
        <f t="array" ref="I328">INDEX(Таблица1[Количество заказов],MATCH(1,(Таблица1[Дата]=Лист1!A328)*(Таблица1[Территория]=Лист1!C328),0))</f>
        <v>11128</v>
      </c>
      <c r="J328" s="25" cm="1">
        <f t="array" ref="J328">INDEX(Таблица1[Количество клиентов],MATCH(1,(Таблица1[Дата]=Лист1!A328)*(Таблица1[Территория]=Лист1!C328),0))</f>
        <v>10467</v>
      </c>
    </row>
    <row r="329" spans="1:10" x14ac:dyDescent="0.3">
      <c r="A329" s="15">
        <v>43960</v>
      </c>
      <c r="B329" s="36">
        <f t="shared" si="5"/>
        <v>19</v>
      </c>
      <c r="C329" s="16" t="s">
        <v>8</v>
      </c>
      <c r="D329" s="26">
        <v>177976.5</v>
      </c>
      <c r="E329" s="30">
        <v>18085798.5</v>
      </c>
      <c r="F329" s="30">
        <v>13150397.668</v>
      </c>
      <c r="G329" s="31">
        <v>444057.73347692302</v>
      </c>
      <c r="H329" s="26" cm="1">
        <f t="array" ref="H329">INDEX(Таблица1[Количество складов],MATCH(1,(Таблица1[Дата]=Лист1!A329)*(Таблица1[Территория]=Лист1!C329),0))</f>
        <v>54</v>
      </c>
      <c r="I329" s="26" cm="1">
        <f t="array" ref="I329">INDEX(Таблица1[Количество заказов],MATCH(1,(Таблица1[Дата]=Лист1!A329)*(Таблица1[Территория]=Лист1!C329),0))</f>
        <v>11288</v>
      </c>
      <c r="J329" s="26" cm="1">
        <f t="array" ref="J329">INDEX(Таблица1[Количество клиентов],MATCH(1,(Таблица1[Дата]=Лист1!A329)*(Таблица1[Территория]=Лист1!C329),0))</f>
        <v>10492</v>
      </c>
    </row>
    <row r="330" spans="1:10" x14ac:dyDescent="0.3">
      <c r="A330" s="13">
        <v>43955</v>
      </c>
      <c r="B330" s="35">
        <f t="shared" si="5"/>
        <v>19</v>
      </c>
      <c r="C330" s="14" t="s">
        <v>8</v>
      </c>
      <c r="D330" s="25">
        <v>223617</v>
      </c>
      <c r="E330" s="28">
        <v>22796827.5</v>
      </c>
      <c r="F330" s="28">
        <v>16597666.014999999</v>
      </c>
      <c r="G330" s="29">
        <v>404297.74615384609</v>
      </c>
      <c r="H330" s="25" cm="1">
        <f t="array" ref="H330">INDEX(Таблица1[Количество складов],MATCH(1,(Таблица1[Дата]=Лист1!A330)*(Таблица1[Территория]=Лист1!C330),0))</f>
        <v>54</v>
      </c>
      <c r="I330" s="25" cm="1">
        <f t="array" ref="I330">INDEX(Таблица1[Количество заказов],MATCH(1,(Таблица1[Дата]=Лист1!A330)*(Таблица1[Территория]=Лист1!C330),0))</f>
        <v>13606</v>
      </c>
      <c r="J330" s="25" cm="1">
        <f t="array" ref="J330">INDEX(Таблица1[Количество клиентов],MATCH(1,(Таблица1[Дата]=Лист1!A330)*(Таблица1[Территория]=Лист1!C330),0))</f>
        <v>12697</v>
      </c>
    </row>
    <row r="331" spans="1:10" x14ac:dyDescent="0.3">
      <c r="A331" s="15">
        <v>43953</v>
      </c>
      <c r="B331" s="36">
        <f t="shared" si="5"/>
        <v>18</v>
      </c>
      <c r="C331" s="16" t="s">
        <v>8</v>
      </c>
      <c r="D331" s="26">
        <v>176397</v>
      </c>
      <c r="E331" s="30">
        <v>18625921.5</v>
      </c>
      <c r="F331" s="30">
        <v>13628439.163999999</v>
      </c>
      <c r="G331" s="31">
        <v>370802.93846153846</v>
      </c>
      <c r="H331" s="26" cm="1">
        <f t="array" ref="H331">INDEX(Таблица1[Количество складов],MATCH(1,(Таблица1[Дата]=Лист1!A331)*(Таблица1[Территория]=Лист1!C331),0))</f>
        <v>54</v>
      </c>
      <c r="I331" s="26" cm="1">
        <f t="array" ref="I331">INDEX(Таблица1[Количество заказов],MATCH(1,(Таблица1[Дата]=Лист1!A331)*(Таблица1[Территория]=Лист1!C331),0))</f>
        <v>11622</v>
      </c>
      <c r="J331" s="26" cm="1">
        <f t="array" ref="J331">INDEX(Таблица1[Количество клиентов],MATCH(1,(Таблица1[Дата]=Лист1!A331)*(Таблица1[Территория]=Лист1!C331),0))</f>
        <v>10754</v>
      </c>
    </row>
    <row r="332" spans="1:10" x14ac:dyDescent="0.3">
      <c r="A332" s="13">
        <v>43977</v>
      </c>
      <c r="B332" s="35">
        <f t="shared" si="5"/>
        <v>22</v>
      </c>
      <c r="C332" s="14" t="s">
        <v>8</v>
      </c>
      <c r="D332" s="25">
        <v>232369.5</v>
      </c>
      <c r="E332" s="28">
        <v>23856345</v>
      </c>
      <c r="F332" s="28">
        <v>17297352.185000002</v>
      </c>
      <c r="G332" s="29">
        <v>279472.16153846151</v>
      </c>
      <c r="H332" s="25" cm="1">
        <f t="array" ref="H332">INDEX(Таблица1[Количество складов],MATCH(1,(Таблица1[Дата]=Лист1!A332)*(Таблица1[Территория]=Лист1!C332),0))</f>
        <v>54</v>
      </c>
      <c r="I332" s="25" cm="1">
        <f t="array" ref="I332">INDEX(Таблица1[Количество заказов],MATCH(1,(Таблица1[Дата]=Лист1!A332)*(Таблица1[Территория]=Лист1!C332),0))</f>
        <v>14482</v>
      </c>
      <c r="J332" s="25" cm="1">
        <f t="array" ref="J332">INDEX(Таблица1[Количество клиентов],MATCH(1,(Таблица1[Дата]=Лист1!A332)*(Таблица1[Территория]=Лист1!C332),0))</f>
        <v>13510</v>
      </c>
    </row>
    <row r="333" spans="1:10" x14ac:dyDescent="0.3">
      <c r="A333" s="15">
        <v>43952</v>
      </c>
      <c r="B333" s="36">
        <f t="shared" si="5"/>
        <v>18</v>
      </c>
      <c r="C333" s="16" t="s">
        <v>8</v>
      </c>
      <c r="D333" s="26">
        <v>226540.5</v>
      </c>
      <c r="E333" s="30">
        <v>23953536</v>
      </c>
      <c r="F333" s="30">
        <v>17342946.796999998</v>
      </c>
      <c r="G333" s="31">
        <v>380499.56092307693</v>
      </c>
      <c r="H333" s="26" cm="1">
        <f t="array" ref="H333">INDEX(Таблица1[Количество складов],MATCH(1,(Таблица1[Дата]=Лист1!A333)*(Таблица1[Территория]=Лист1!C333),0))</f>
        <v>54</v>
      </c>
      <c r="I333" s="26" cm="1">
        <f t="array" ref="I333">INDEX(Таблица1[Количество заказов],MATCH(1,(Таблица1[Дата]=Лист1!A333)*(Таблица1[Территория]=Лист1!C333),0))</f>
        <v>14205</v>
      </c>
      <c r="J333" s="26" cm="1">
        <f t="array" ref="J333">INDEX(Таблица1[Количество клиентов],MATCH(1,(Таблица1[Дата]=Лист1!A333)*(Таблица1[Территория]=Лист1!C333),0))</f>
        <v>13026</v>
      </c>
    </row>
    <row r="334" spans="1:10" x14ac:dyDescent="0.3">
      <c r="A334" s="13">
        <v>43963</v>
      </c>
      <c r="B334" s="35">
        <f t="shared" si="5"/>
        <v>20</v>
      </c>
      <c r="C334" s="14" t="s">
        <v>8</v>
      </c>
      <c r="D334" s="25">
        <v>189679.5</v>
      </c>
      <c r="E334" s="28">
        <v>18718036.5</v>
      </c>
      <c r="F334" s="28">
        <v>13500671.991999999</v>
      </c>
      <c r="G334" s="29">
        <v>344959.87384615385</v>
      </c>
      <c r="H334" s="25" cm="1">
        <f t="array" ref="H334">INDEX(Таблица1[Количество складов],MATCH(1,(Таблица1[Дата]=Лист1!A334)*(Таблица1[Территория]=Лист1!C334),0))</f>
        <v>54</v>
      </c>
      <c r="I334" s="25" cm="1">
        <f t="array" ref="I334">INDEX(Таблица1[Количество заказов],MATCH(1,(Таблица1[Дата]=Лист1!A334)*(Таблица1[Территория]=Лист1!C334),0))</f>
        <v>11614</v>
      </c>
      <c r="J334" s="25" cm="1">
        <f t="array" ref="J334">INDEX(Таблица1[Количество клиентов],MATCH(1,(Таблица1[Дата]=Лист1!A334)*(Таблица1[Территория]=Лист1!C334),0))</f>
        <v>10862</v>
      </c>
    </row>
    <row r="335" spans="1:10" x14ac:dyDescent="0.3">
      <c r="A335" s="15">
        <v>43972</v>
      </c>
      <c r="B335" s="36">
        <f t="shared" si="5"/>
        <v>21</v>
      </c>
      <c r="C335" s="16" t="s">
        <v>8</v>
      </c>
      <c r="D335" s="26">
        <v>213640.5</v>
      </c>
      <c r="E335" s="30">
        <v>21042673.5</v>
      </c>
      <c r="F335" s="30">
        <v>15681371.557000002</v>
      </c>
      <c r="G335" s="31">
        <v>296732.59615384613</v>
      </c>
      <c r="H335" s="26" cm="1">
        <f t="array" ref="H335">INDEX(Таблица1[Количество складов],MATCH(1,(Таблица1[Дата]=Лист1!A335)*(Таблица1[Территория]=Лист1!C335),0))</f>
        <v>54</v>
      </c>
      <c r="I335" s="26" cm="1">
        <f t="array" ref="I335">INDEX(Таблица1[Количество заказов],MATCH(1,(Таблица1[Дата]=Лист1!A335)*(Таблица1[Территория]=Лист1!C335),0))</f>
        <v>13240</v>
      </c>
      <c r="J335" s="26" cm="1">
        <f t="array" ref="J335">INDEX(Таблица1[Количество клиентов],MATCH(1,(Таблица1[Дата]=Лист1!A335)*(Таблица1[Территория]=Лист1!C335),0))</f>
        <v>12360</v>
      </c>
    </row>
    <row r="336" spans="1:10" x14ac:dyDescent="0.3">
      <c r="A336" s="13">
        <v>43971</v>
      </c>
      <c r="B336" s="35">
        <f t="shared" si="5"/>
        <v>21</v>
      </c>
      <c r="C336" s="14" t="s">
        <v>8</v>
      </c>
      <c r="D336" s="25">
        <v>214885.5</v>
      </c>
      <c r="E336" s="28">
        <v>21411349.5</v>
      </c>
      <c r="F336" s="28">
        <v>15600701.422999999</v>
      </c>
      <c r="G336" s="29">
        <v>410370.5153846154</v>
      </c>
      <c r="H336" s="25" cm="1">
        <f t="array" ref="H336">INDEX(Таблица1[Количество складов],MATCH(1,(Таблица1[Дата]=Лист1!A336)*(Таблица1[Территория]=Лист1!C336),0))</f>
        <v>54</v>
      </c>
      <c r="I336" s="25" cm="1">
        <f t="array" ref="I336">INDEX(Таблица1[Количество заказов],MATCH(1,(Таблица1[Дата]=Лист1!A336)*(Таблица1[Территория]=Лист1!C336),0))</f>
        <v>13298</v>
      </c>
      <c r="J336" s="25" cm="1">
        <f t="array" ref="J336">INDEX(Таблица1[Количество клиентов],MATCH(1,(Таблица1[Дата]=Лист1!A336)*(Таблица1[Территория]=Лист1!C336),0))</f>
        <v>12428</v>
      </c>
    </row>
    <row r="337" spans="1:10" x14ac:dyDescent="0.3">
      <c r="A337" s="15">
        <v>43956</v>
      </c>
      <c r="B337" s="36">
        <f t="shared" si="5"/>
        <v>19</v>
      </c>
      <c r="C337" s="16" t="s">
        <v>8</v>
      </c>
      <c r="D337" s="26">
        <v>203832</v>
      </c>
      <c r="E337" s="30">
        <v>20880142.5</v>
      </c>
      <c r="F337" s="30">
        <v>15015521.489999998</v>
      </c>
      <c r="G337" s="31">
        <v>398269.43076923076</v>
      </c>
      <c r="H337" s="26" cm="1">
        <f t="array" ref="H337">INDEX(Таблица1[Количество складов],MATCH(1,(Таблица1[Дата]=Лист1!A337)*(Таблица1[Территория]=Лист1!C337),0))</f>
        <v>54</v>
      </c>
      <c r="I337" s="26" cm="1">
        <f t="array" ref="I337">INDEX(Таблица1[Количество заказов],MATCH(1,(Таблица1[Дата]=Лист1!A337)*(Таблица1[Территория]=Лист1!C337),0))</f>
        <v>12775</v>
      </c>
      <c r="J337" s="26" cm="1">
        <f t="array" ref="J337">INDEX(Таблица1[Количество клиентов],MATCH(1,(Таблица1[Дата]=Лист1!A337)*(Таблица1[Территория]=Лист1!C337),0))</f>
        <v>11887</v>
      </c>
    </row>
    <row r="338" spans="1:10" x14ac:dyDescent="0.3">
      <c r="A338" s="13">
        <v>43964</v>
      </c>
      <c r="B338" s="35">
        <f t="shared" si="5"/>
        <v>20</v>
      </c>
      <c r="C338" s="14" t="s">
        <v>8</v>
      </c>
      <c r="D338" s="25">
        <v>188662.5</v>
      </c>
      <c r="E338" s="28">
        <v>18784000.5</v>
      </c>
      <c r="F338" s="28">
        <v>13568684.673999999</v>
      </c>
      <c r="G338" s="29">
        <v>349844.36153846153</v>
      </c>
      <c r="H338" s="25" cm="1">
        <f t="array" ref="H338">INDEX(Таблица1[Количество складов],MATCH(1,(Таблица1[Дата]=Лист1!A338)*(Таблица1[Территория]=Лист1!C338),0))</f>
        <v>54</v>
      </c>
      <c r="I338" s="25" cm="1">
        <f t="array" ref="I338">INDEX(Таблица1[Количество заказов],MATCH(1,(Таблица1[Дата]=Лист1!A338)*(Таблица1[Территория]=Лист1!C338),0))</f>
        <v>11522</v>
      </c>
      <c r="J338" s="25" cm="1">
        <f t="array" ref="J338">INDEX(Таблица1[Количество клиентов],MATCH(1,(Таблица1[Дата]=Лист1!A338)*(Таблица1[Территория]=Лист1!C338),0))</f>
        <v>10803</v>
      </c>
    </row>
    <row r="339" spans="1:10" x14ac:dyDescent="0.3">
      <c r="A339" s="15">
        <v>43982</v>
      </c>
      <c r="B339" s="36">
        <f t="shared" si="5"/>
        <v>22</v>
      </c>
      <c r="C339" s="16" t="s">
        <v>9</v>
      </c>
      <c r="D339" s="26">
        <v>215277</v>
      </c>
      <c r="E339" s="30">
        <v>21585316.5</v>
      </c>
      <c r="F339" s="30">
        <v>16285354.714</v>
      </c>
      <c r="G339" s="31">
        <v>183249.26153846155</v>
      </c>
      <c r="H339" s="26" cm="1">
        <f t="array" ref="H339">INDEX(Таблица1[Количество складов],MATCH(1,(Таблица1[Дата]=Лист1!A339)*(Таблица1[Территория]=Лист1!C339),0))</f>
        <v>59</v>
      </c>
      <c r="I339" s="26" cm="1">
        <f t="array" ref="I339">INDEX(Таблица1[Количество заказов],MATCH(1,(Таблица1[Дата]=Лист1!A339)*(Таблица1[Территория]=Лист1!C339),0))</f>
        <v>13684</v>
      </c>
      <c r="J339" s="26" cm="1">
        <f t="array" ref="J339">INDEX(Таблица1[Количество клиентов],MATCH(1,(Таблица1[Дата]=Лист1!A339)*(Таблица1[Территория]=Лист1!C339),0))</f>
        <v>12690</v>
      </c>
    </row>
    <row r="340" spans="1:10" x14ac:dyDescent="0.3">
      <c r="A340" s="13">
        <v>43954</v>
      </c>
      <c r="B340" s="35">
        <f t="shared" si="5"/>
        <v>18</v>
      </c>
      <c r="C340" s="14" t="s">
        <v>8</v>
      </c>
      <c r="D340" s="25">
        <v>248148</v>
      </c>
      <c r="E340" s="28">
        <v>25519072.5</v>
      </c>
      <c r="F340" s="28">
        <v>18491870.614999998</v>
      </c>
      <c r="G340" s="29">
        <v>270910.05384615384</v>
      </c>
      <c r="H340" s="25" cm="1">
        <f t="array" ref="H340">INDEX(Таблица1[Количество складов],MATCH(1,(Таблица1[Дата]=Лист1!A340)*(Таблица1[Территория]=Лист1!C340),0))</f>
        <v>54</v>
      </c>
      <c r="I340" s="25" cm="1">
        <f t="array" ref="I340">INDEX(Таблица1[Количество заказов],MATCH(1,(Таблица1[Дата]=Лист1!A340)*(Таблица1[Территория]=Лист1!C340),0))</f>
        <v>14823</v>
      </c>
      <c r="J340" s="25" cm="1">
        <f t="array" ref="J340">INDEX(Таблица1[Количество клиентов],MATCH(1,(Таблица1[Дата]=Лист1!A340)*(Таблица1[Территория]=Лист1!C340),0))</f>
        <v>13751</v>
      </c>
    </row>
    <row r="341" spans="1:10" x14ac:dyDescent="0.3">
      <c r="A341" s="15">
        <v>43981</v>
      </c>
      <c r="B341" s="36">
        <f t="shared" si="5"/>
        <v>22</v>
      </c>
      <c r="C341" s="16" t="s">
        <v>9</v>
      </c>
      <c r="D341" s="26">
        <v>246414</v>
      </c>
      <c r="E341" s="30">
        <v>24527245.5</v>
      </c>
      <c r="F341" s="30">
        <v>18595804.535</v>
      </c>
      <c r="G341" s="31">
        <v>282204.5230769231</v>
      </c>
      <c r="H341" s="26" cm="1">
        <f t="array" ref="H341">INDEX(Таблица1[Количество складов],MATCH(1,(Таблица1[Дата]=Лист1!A341)*(Таблица1[Территория]=Лист1!C341),0))</f>
        <v>59</v>
      </c>
      <c r="I341" s="26" cm="1">
        <f t="array" ref="I341">INDEX(Таблица1[Количество заказов],MATCH(1,(Таблица1[Дата]=Лист1!A341)*(Таблица1[Территория]=Лист1!C341),0))</f>
        <v>15030</v>
      </c>
      <c r="J341" s="26" cm="1">
        <f t="array" ref="J341">INDEX(Таблица1[Количество клиентов],MATCH(1,(Таблица1[Дата]=Лист1!A341)*(Таблица1[Территория]=Лист1!C341),0))</f>
        <v>13956</v>
      </c>
    </row>
    <row r="342" spans="1:10" x14ac:dyDescent="0.3">
      <c r="A342" s="13">
        <v>43957</v>
      </c>
      <c r="B342" s="35">
        <f t="shared" si="5"/>
        <v>19</v>
      </c>
      <c r="C342" s="14" t="s">
        <v>8</v>
      </c>
      <c r="D342" s="25">
        <v>216498</v>
      </c>
      <c r="E342" s="28">
        <v>22126444.5</v>
      </c>
      <c r="F342" s="28">
        <v>16128268.832</v>
      </c>
      <c r="G342" s="29">
        <v>389877.53846153844</v>
      </c>
      <c r="H342" s="25" cm="1">
        <f t="array" ref="H342">INDEX(Таблица1[Количество складов],MATCH(1,(Таблица1[Дата]=Лист1!A342)*(Таблица1[Территория]=Лист1!C342),0))</f>
        <v>54</v>
      </c>
      <c r="I342" s="25" cm="1">
        <f t="array" ref="I342">INDEX(Таблица1[Количество заказов],MATCH(1,(Таблица1[Дата]=Лист1!A342)*(Таблица1[Территория]=Лист1!C342),0))</f>
        <v>13406</v>
      </c>
      <c r="J342" s="25" cm="1">
        <f t="array" ref="J342">INDEX(Таблица1[Количество клиентов],MATCH(1,(Таблица1[Дата]=Лист1!A342)*(Таблица1[Территория]=Лист1!C342),0))</f>
        <v>12518</v>
      </c>
    </row>
    <row r="343" spans="1:10" x14ac:dyDescent="0.3">
      <c r="A343" s="15">
        <v>43974</v>
      </c>
      <c r="B343" s="36">
        <f t="shared" si="5"/>
        <v>21</v>
      </c>
      <c r="C343" s="16" t="s">
        <v>8</v>
      </c>
      <c r="D343" s="26">
        <v>275793</v>
      </c>
      <c r="E343" s="30">
        <v>26806626</v>
      </c>
      <c r="F343" s="30">
        <v>20508194.544999998</v>
      </c>
      <c r="G343" s="31">
        <v>239346.81538461536</v>
      </c>
      <c r="H343" s="26" cm="1">
        <f t="array" ref="H343">INDEX(Таблица1[Количество складов],MATCH(1,(Таблица1[Дата]=Лист1!A343)*(Таблица1[Территория]=Лист1!C343),0))</f>
        <v>54</v>
      </c>
      <c r="I343" s="26" cm="1">
        <f t="array" ref="I343">INDEX(Таблица1[Количество заказов],MATCH(1,(Таблица1[Дата]=Лист1!A343)*(Таблица1[Территория]=Лист1!C343),0))</f>
        <v>16221</v>
      </c>
      <c r="J343" s="26" cm="1">
        <f t="array" ref="J343">INDEX(Таблица1[Количество клиентов],MATCH(1,(Таблица1[Дата]=Лист1!A343)*(Таблица1[Территория]=Лист1!C343),0))</f>
        <v>15065</v>
      </c>
    </row>
    <row r="344" spans="1:10" x14ac:dyDescent="0.3">
      <c r="A344" s="13">
        <v>43979</v>
      </c>
      <c r="B344" s="35">
        <f t="shared" si="5"/>
        <v>22</v>
      </c>
      <c r="C344" s="14" t="s">
        <v>9</v>
      </c>
      <c r="D344" s="25">
        <v>199753.5</v>
      </c>
      <c r="E344" s="28">
        <v>20535733.5</v>
      </c>
      <c r="F344" s="28">
        <v>15173462.744000001</v>
      </c>
      <c r="G344" s="29">
        <v>257491.36923076925</v>
      </c>
      <c r="H344" s="25" cm="1">
        <f t="array" ref="H344">INDEX(Таблица1[Количество складов],MATCH(1,(Таблица1[Дата]=Лист1!A344)*(Таблица1[Территория]=Лист1!C344),0))</f>
        <v>60</v>
      </c>
      <c r="I344" s="25" cm="1">
        <f t="array" ref="I344">INDEX(Таблица1[Количество заказов],MATCH(1,(Таблица1[Дата]=Лист1!A344)*(Таблица1[Территория]=Лист1!C344),0))</f>
        <v>12854</v>
      </c>
      <c r="J344" s="25" cm="1">
        <f t="array" ref="J344">INDEX(Таблица1[Количество клиентов],MATCH(1,(Таблица1[Дата]=Лист1!A344)*(Таблица1[Территория]=Лист1!C344),0))</f>
        <v>11954</v>
      </c>
    </row>
    <row r="345" spans="1:10" x14ac:dyDescent="0.3">
      <c r="A345" s="15">
        <v>43976</v>
      </c>
      <c r="B345" s="36">
        <f t="shared" si="5"/>
        <v>22</v>
      </c>
      <c r="C345" s="16" t="s">
        <v>8</v>
      </c>
      <c r="D345" s="26">
        <v>192948</v>
      </c>
      <c r="E345" s="30">
        <v>19806927</v>
      </c>
      <c r="F345" s="30">
        <v>14358653.389999999</v>
      </c>
      <c r="G345" s="31">
        <v>319377.7946153846</v>
      </c>
      <c r="H345" s="26" cm="1">
        <f t="array" ref="H345">INDEX(Таблица1[Количество складов],MATCH(1,(Таблица1[Дата]=Лист1!A345)*(Таблица1[Территория]=Лист1!C345),0))</f>
        <v>54</v>
      </c>
      <c r="I345" s="26" cm="1">
        <f t="array" ref="I345">INDEX(Таблица1[Количество заказов],MATCH(1,(Таблица1[Дата]=Лист1!A345)*(Таблица1[Территория]=Лист1!C345),0))</f>
        <v>12336</v>
      </c>
      <c r="J345" s="26" cm="1">
        <f t="array" ref="J345">INDEX(Таблица1[Количество клиентов],MATCH(1,(Таблица1[Дата]=Лист1!A345)*(Таблица1[Территория]=Лист1!C345),0))</f>
        <v>11519</v>
      </c>
    </row>
    <row r="346" spans="1:10" x14ac:dyDescent="0.3">
      <c r="A346" s="13">
        <v>43951</v>
      </c>
      <c r="B346" s="35">
        <f t="shared" si="5"/>
        <v>18</v>
      </c>
      <c r="C346" s="14" t="s">
        <v>8</v>
      </c>
      <c r="D346" s="25">
        <v>206038.5</v>
      </c>
      <c r="E346" s="28">
        <v>21740460</v>
      </c>
      <c r="F346" s="28">
        <v>15789926.042999998</v>
      </c>
      <c r="G346" s="29">
        <v>115102.03846153845</v>
      </c>
      <c r="H346" s="25" cm="1">
        <f t="array" ref="H346">INDEX(Таблица1[Количество складов],MATCH(1,(Таблица1[Дата]=Лист1!A346)*(Таблица1[Территория]=Лист1!C346),0))</f>
        <v>54</v>
      </c>
      <c r="I346" s="25" cm="1">
        <f t="array" ref="I346">INDEX(Таблица1[Количество заказов],MATCH(1,(Таблица1[Дата]=Лист1!A346)*(Таблица1[Территория]=Лист1!C346),0))</f>
        <v>12817</v>
      </c>
      <c r="J346" s="25" cm="1">
        <f t="array" ref="J346">INDEX(Таблица1[Количество клиентов],MATCH(1,(Таблица1[Дата]=Лист1!A346)*(Таблица1[Территория]=Лист1!C346),0))</f>
        <v>11865</v>
      </c>
    </row>
    <row r="347" spans="1:10" x14ac:dyDescent="0.3">
      <c r="A347" s="15">
        <v>43961</v>
      </c>
      <c r="B347" s="36">
        <f t="shared" si="5"/>
        <v>19</v>
      </c>
      <c r="C347" s="16" t="s">
        <v>8</v>
      </c>
      <c r="D347" s="26">
        <v>231559.5</v>
      </c>
      <c r="E347" s="30">
        <v>23443725</v>
      </c>
      <c r="F347" s="30">
        <v>17121204.866</v>
      </c>
      <c r="G347" s="31">
        <v>269535.72538461542</v>
      </c>
      <c r="H347" s="26" cm="1">
        <f t="array" ref="H347">INDEX(Таблица1[Количество складов],MATCH(1,(Таблица1[Дата]=Лист1!A347)*(Таблица1[Территория]=Лист1!C347),0))</f>
        <v>54</v>
      </c>
      <c r="I347" s="26" cm="1">
        <f t="array" ref="I347">INDEX(Таблица1[Количество заказов],MATCH(1,(Таблица1[Дата]=Лист1!A347)*(Таблица1[Территория]=Лист1!C347),0))</f>
        <v>13832</v>
      </c>
      <c r="J347" s="26" cm="1">
        <f t="array" ref="J347">INDEX(Таблица1[Количество клиентов],MATCH(1,(Таблица1[Дата]=Лист1!A347)*(Таблица1[Территория]=Лист1!C347),0))</f>
        <v>12864</v>
      </c>
    </row>
    <row r="348" spans="1:10" x14ac:dyDescent="0.3">
      <c r="A348" s="13">
        <v>43959</v>
      </c>
      <c r="B348" s="35">
        <f t="shared" si="5"/>
        <v>19</v>
      </c>
      <c r="C348" s="14" t="s">
        <v>8</v>
      </c>
      <c r="D348" s="25">
        <v>225076.5</v>
      </c>
      <c r="E348" s="28">
        <v>22846078.5</v>
      </c>
      <c r="F348" s="28">
        <v>16722171.227</v>
      </c>
      <c r="G348" s="29">
        <v>479024.68461538455</v>
      </c>
      <c r="H348" s="25" cm="1">
        <f t="array" ref="H348">INDEX(Таблица1[Количество складов],MATCH(1,(Таблица1[Дата]=Лист1!A348)*(Таблица1[Территория]=Лист1!C348),0))</f>
        <v>54</v>
      </c>
      <c r="I348" s="25" cm="1">
        <f t="array" ref="I348">INDEX(Таблица1[Количество заказов],MATCH(1,(Таблица1[Дата]=Лист1!A348)*(Таблица1[Территория]=Лист1!C348),0))</f>
        <v>13563</v>
      </c>
      <c r="J348" s="25" cm="1">
        <f t="array" ref="J348">INDEX(Таблица1[Количество клиентов],MATCH(1,(Таблица1[Дата]=Лист1!A348)*(Таблица1[Территория]=Лист1!C348),0))</f>
        <v>12604</v>
      </c>
    </row>
    <row r="349" spans="1:10" x14ac:dyDescent="0.3">
      <c r="A349" s="15">
        <v>43958</v>
      </c>
      <c r="B349" s="36">
        <f t="shared" si="5"/>
        <v>19</v>
      </c>
      <c r="C349" s="16" t="s">
        <v>8</v>
      </c>
      <c r="D349" s="26">
        <v>209415</v>
      </c>
      <c r="E349" s="30">
        <v>21463023</v>
      </c>
      <c r="F349" s="30">
        <v>15847839.739</v>
      </c>
      <c r="G349" s="31">
        <v>521163.87692307692</v>
      </c>
      <c r="H349" s="26" cm="1">
        <f t="array" ref="H349">INDEX(Таблица1[Количество складов],MATCH(1,(Таблица1[Дата]=Лист1!A349)*(Таблица1[Территория]=Лист1!C349),0))</f>
        <v>54</v>
      </c>
      <c r="I349" s="26" cm="1">
        <f t="array" ref="I349">INDEX(Таблица1[Количество заказов],MATCH(1,(Таблица1[Дата]=Лист1!A349)*(Таблица1[Территория]=Лист1!C349),0))</f>
        <v>12743</v>
      </c>
      <c r="J349" s="26" cm="1">
        <f t="array" ref="J349">INDEX(Таблица1[Количество клиентов],MATCH(1,(Таблица1[Дата]=Лист1!A349)*(Таблица1[Территория]=Лист1!C349),0))</f>
        <v>11858</v>
      </c>
    </row>
    <row r="350" spans="1:10" x14ac:dyDescent="0.3">
      <c r="A350" s="13">
        <v>43975</v>
      </c>
      <c r="B350" s="35">
        <f t="shared" si="5"/>
        <v>21</v>
      </c>
      <c r="C350" s="14" t="s">
        <v>8</v>
      </c>
      <c r="D350" s="25">
        <v>193719</v>
      </c>
      <c r="E350" s="28">
        <v>19071117</v>
      </c>
      <c r="F350" s="28">
        <v>14541424.877999999</v>
      </c>
      <c r="G350" s="29">
        <v>304806.9854230769</v>
      </c>
      <c r="H350" s="25" cm="1">
        <f t="array" ref="H350">INDEX(Таблица1[Количество складов],MATCH(1,(Таблица1[Дата]=Лист1!A350)*(Таблица1[Территория]=Лист1!C350),0))</f>
        <v>54</v>
      </c>
      <c r="I350" s="25" cm="1">
        <f t="array" ref="I350">INDEX(Таблица1[Количество заказов],MATCH(1,(Таблица1[Дата]=Лист1!A350)*(Таблица1[Территория]=Лист1!C350),0))</f>
        <v>12211</v>
      </c>
      <c r="J350" s="25" cm="1">
        <f t="array" ref="J350">INDEX(Таблица1[Количество клиентов],MATCH(1,(Таблица1[Дата]=Лист1!A350)*(Таблица1[Территория]=Лист1!C350),0))</f>
        <v>11427</v>
      </c>
    </row>
    <row r="351" spans="1:10" x14ac:dyDescent="0.3">
      <c r="A351" s="15">
        <v>43950</v>
      </c>
      <c r="B351" s="36">
        <f t="shared" si="5"/>
        <v>18</v>
      </c>
      <c r="C351" s="16" t="s">
        <v>11</v>
      </c>
      <c r="D351" s="26">
        <v>12250.5</v>
      </c>
      <c r="E351" s="30">
        <v>981519</v>
      </c>
      <c r="F351" s="30">
        <v>867080.68200000003</v>
      </c>
      <c r="G351" s="31">
        <v>102160.21538461538</v>
      </c>
      <c r="H351" s="26" cm="1">
        <f t="array" ref="H351">INDEX(Таблица1[Количество складов],MATCH(1,(Таблица1[Дата]=Лист1!A351)*(Таблица1[Территория]=Лист1!C351),0))</f>
        <v>15</v>
      </c>
      <c r="I351" s="26" cm="1">
        <f t="array" ref="I351">INDEX(Таблица1[Количество заказов],MATCH(1,(Таблица1[Дата]=Лист1!A351)*(Таблица1[Территория]=Лист1!C351),0))</f>
        <v>659</v>
      </c>
      <c r="J351" s="26" cm="1">
        <f t="array" ref="J351">INDEX(Таблица1[Количество клиентов],MATCH(1,(Таблица1[Дата]=Лист1!A351)*(Таблица1[Территория]=Лист1!C351),0))</f>
        <v>575</v>
      </c>
    </row>
    <row r="352" spans="1:10" x14ac:dyDescent="0.3">
      <c r="A352" s="13">
        <v>43949</v>
      </c>
      <c r="B352" s="35">
        <f t="shared" si="5"/>
        <v>18</v>
      </c>
      <c r="C352" s="14" t="s">
        <v>11</v>
      </c>
      <c r="D352" s="25">
        <v>12541.5</v>
      </c>
      <c r="E352" s="28">
        <v>992541</v>
      </c>
      <c r="F352" s="28">
        <v>874678.696</v>
      </c>
      <c r="G352" s="29">
        <v>83886.676923076913</v>
      </c>
      <c r="H352" s="25" cm="1">
        <f t="array" ref="H352">INDEX(Таблица1[Количество складов],MATCH(1,(Таблица1[Дата]=Лист1!A352)*(Таблица1[Территория]=Лист1!C352),0))</f>
        <v>15</v>
      </c>
      <c r="I352" s="25" cm="1">
        <f t="array" ref="I352">INDEX(Таблица1[Количество заказов],MATCH(1,(Таблица1[Дата]=Лист1!A352)*(Таблица1[Территория]=Лист1!C352),0))</f>
        <v>636</v>
      </c>
      <c r="J352" s="25" cm="1">
        <f t="array" ref="J352">INDEX(Таблица1[Количество клиентов],MATCH(1,(Таблица1[Дата]=Лист1!A352)*(Таблица1[Территория]=Лист1!C352),0))</f>
        <v>547</v>
      </c>
    </row>
    <row r="353" spans="1:10" x14ac:dyDescent="0.3">
      <c r="A353" s="15">
        <v>43982</v>
      </c>
      <c r="B353" s="36">
        <f t="shared" si="5"/>
        <v>22</v>
      </c>
      <c r="C353" s="16" t="s">
        <v>8</v>
      </c>
      <c r="D353" s="26">
        <v>206758.5</v>
      </c>
      <c r="E353" s="30">
        <v>20717248.5</v>
      </c>
      <c r="F353" s="30">
        <v>15667372.685999999</v>
      </c>
      <c r="G353" s="31">
        <v>180007.08753846152</v>
      </c>
      <c r="H353" s="26" cm="1">
        <f t="array" ref="H353">INDEX(Таблица1[Количество складов],MATCH(1,(Таблица1[Дата]=Лист1!A353)*(Таблица1[Территория]=Лист1!C353),0))</f>
        <v>54</v>
      </c>
      <c r="I353" s="26" cm="1">
        <f t="array" ref="I353">INDEX(Таблица1[Количество заказов],MATCH(1,(Таблица1[Дата]=Лист1!A353)*(Таблица1[Территория]=Лист1!C353),0))</f>
        <v>13106</v>
      </c>
      <c r="J353" s="26" cm="1">
        <f t="array" ref="J353">INDEX(Таблица1[Количество клиентов],MATCH(1,(Таблица1[Дата]=Лист1!A353)*(Таблица1[Территория]=Лист1!C353),0))</f>
        <v>12164</v>
      </c>
    </row>
    <row r="354" spans="1:10" x14ac:dyDescent="0.3">
      <c r="A354" s="13">
        <v>43981</v>
      </c>
      <c r="B354" s="35">
        <f t="shared" si="5"/>
        <v>22</v>
      </c>
      <c r="C354" s="14" t="s">
        <v>8</v>
      </c>
      <c r="D354" s="25">
        <v>244734</v>
      </c>
      <c r="E354" s="28">
        <v>24151980</v>
      </c>
      <c r="F354" s="28">
        <v>18429449.488000002</v>
      </c>
      <c r="G354" s="29">
        <v>303444.36538461538</v>
      </c>
      <c r="H354" s="25" cm="1">
        <f t="array" ref="H354">INDEX(Таблица1[Количество складов],MATCH(1,(Таблица1[Дата]=Лист1!A354)*(Таблица1[Территория]=Лист1!C354),0))</f>
        <v>54</v>
      </c>
      <c r="I354" s="25" cm="1">
        <f t="array" ref="I354">INDEX(Таблица1[Количество заказов],MATCH(1,(Таблица1[Дата]=Лист1!A354)*(Таблица1[Территория]=Лист1!C354),0))</f>
        <v>14590</v>
      </c>
      <c r="J354" s="25" cm="1">
        <f t="array" ref="J354">INDEX(Таблица1[Количество клиентов],MATCH(1,(Таблица1[Дата]=Лист1!A354)*(Таблица1[Территория]=Лист1!C354),0))</f>
        <v>13551</v>
      </c>
    </row>
    <row r="355" spans="1:10" x14ac:dyDescent="0.3">
      <c r="A355" s="15">
        <v>43979</v>
      </c>
      <c r="B355" s="36">
        <f t="shared" si="5"/>
        <v>22</v>
      </c>
      <c r="C355" s="16" t="s">
        <v>8</v>
      </c>
      <c r="D355" s="26">
        <v>191641.5</v>
      </c>
      <c r="E355" s="30">
        <v>19549036.5</v>
      </c>
      <c r="F355" s="30">
        <v>14481164.23</v>
      </c>
      <c r="G355" s="31">
        <v>266079.27846153843</v>
      </c>
      <c r="H355" s="26" cm="1">
        <f t="array" ref="H355">INDEX(Таблица1[Количество складов],MATCH(1,(Таблица1[Дата]=Лист1!A355)*(Таблица1[Территория]=Лист1!C355),0))</f>
        <v>54</v>
      </c>
      <c r="I355" s="26" cm="1">
        <f t="array" ref="I355">INDEX(Таблица1[Количество заказов],MATCH(1,(Таблица1[Дата]=Лист1!A355)*(Таблица1[Территория]=Лист1!C355),0))</f>
        <v>12409</v>
      </c>
      <c r="J355" s="26" cm="1">
        <f t="array" ref="J355">INDEX(Таблица1[Количество клиентов],MATCH(1,(Таблица1[Дата]=Лист1!A355)*(Таблица1[Территория]=Лист1!C355),0))</f>
        <v>11582</v>
      </c>
    </row>
    <row r="356" spans="1:10" x14ac:dyDescent="0.3">
      <c r="A356" s="13">
        <v>43967</v>
      </c>
      <c r="B356" s="35">
        <f t="shared" si="5"/>
        <v>20</v>
      </c>
      <c r="C356" s="14" t="s">
        <v>11</v>
      </c>
      <c r="D356" s="25">
        <v>16368</v>
      </c>
      <c r="E356" s="28">
        <v>1316350.5</v>
      </c>
      <c r="F356" s="28">
        <v>1092945.2830000001</v>
      </c>
      <c r="G356" s="29">
        <v>175846.6446153846</v>
      </c>
      <c r="H356" s="25" cm="1">
        <f t="array" ref="H356">INDEX(Таблица1[Количество складов],MATCH(1,(Таблица1[Дата]=Лист1!A356)*(Таблица1[Территория]=Лист1!C356),0))</f>
        <v>16</v>
      </c>
      <c r="I356" s="25" cm="1">
        <f t="array" ref="I356">INDEX(Таблица1[Количество заказов],MATCH(1,(Таблица1[Дата]=Лист1!A356)*(Таблица1[Территория]=Лист1!C356),0))</f>
        <v>920</v>
      </c>
      <c r="J356" s="25" cm="1">
        <f t="array" ref="J356">INDEX(Таблица1[Количество клиентов],MATCH(1,(Таблица1[Дата]=Лист1!A356)*(Таблица1[Территория]=Лист1!C356),0))</f>
        <v>818</v>
      </c>
    </row>
    <row r="357" spans="1:10" x14ac:dyDescent="0.3">
      <c r="A357" s="15">
        <v>43970</v>
      </c>
      <c r="B357" s="36">
        <f t="shared" si="5"/>
        <v>21</v>
      </c>
      <c r="C357" s="16" t="s">
        <v>11</v>
      </c>
      <c r="D357" s="26">
        <v>14427</v>
      </c>
      <c r="E357" s="30">
        <v>1126810.5</v>
      </c>
      <c r="F357" s="30">
        <v>963035.41399999999</v>
      </c>
      <c r="G357" s="31">
        <v>202056.34519230769</v>
      </c>
      <c r="H357" s="26" cm="1">
        <f t="array" ref="H357">INDEX(Таблица1[Количество складов],MATCH(1,(Таблица1[Дата]=Лист1!A357)*(Таблица1[Территория]=Лист1!C357),0))</f>
        <v>17</v>
      </c>
      <c r="I357" s="26" cm="1">
        <f t="array" ref="I357">INDEX(Таблица1[Количество заказов],MATCH(1,(Таблица1[Дата]=Лист1!A357)*(Таблица1[Территория]=Лист1!C357),0))</f>
        <v>857</v>
      </c>
      <c r="J357" s="26" cm="1">
        <f t="array" ref="J357">INDEX(Таблица1[Количество клиентов],MATCH(1,(Таблица1[Дата]=Лист1!A357)*(Таблица1[Территория]=Лист1!C357),0))</f>
        <v>757</v>
      </c>
    </row>
    <row r="358" spans="1:10" x14ac:dyDescent="0.3">
      <c r="A358" s="13">
        <v>43968</v>
      </c>
      <c r="B358" s="35">
        <f t="shared" si="5"/>
        <v>20</v>
      </c>
      <c r="C358" s="14" t="s">
        <v>11</v>
      </c>
      <c r="D358" s="25">
        <v>13440</v>
      </c>
      <c r="E358" s="28">
        <v>1157529</v>
      </c>
      <c r="F358" s="28">
        <v>935379.42299999984</v>
      </c>
      <c r="G358" s="29">
        <v>111375.6648</v>
      </c>
      <c r="H358" s="25" cm="1">
        <f t="array" ref="H358">INDEX(Таблица1[Количество складов],MATCH(1,(Таблица1[Дата]=Лист1!A358)*(Таблица1[Территория]=Лист1!C358),0))</f>
        <v>16</v>
      </c>
      <c r="I358" s="25" cm="1">
        <f t="array" ref="I358">INDEX(Таблица1[Количество заказов],MATCH(1,(Таблица1[Дата]=Лист1!A358)*(Таблица1[Территория]=Лист1!C358),0))</f>
        <v>859</v>
      </c>
      <c r="J358" s="25" cm="1">
        <f t="array" ref="J358">INDEX(Таблица1[Количество клиентов],MATCH(1,(Таблица1[Дата]=Лист1!A358)*(Таблица1[Территория]=Лист1!C358),0))</f>
        <v>746</v>
      </c>
    </row>
    <row r="359" spans="1:10" x14ac:dyDescent="0.3">
      <c r="A359" s="15">
        <v>43960</v>
      </c>
      <c r="B359" s="36">
        <f t="shared" si="5"/>
        <v>19</v>
      </c>
      <c r="C359" s="16" t="s">
        <v>11</v>
      </c>
      <c r="D359" s="26">
        <v>11745</v>
      </c>
      <c r="E359" s="30">
        <v>955801.5</v>
      </c>
      <c r="F359" s="30">
        <v>795942.652</v>
      </c>
      <c r="G359" s="31">
        <v>165952.05877692305</v>
      </c>
      <c r="H359" s="26" cm="1">
        <f t="array" ref="H359">INDEX(Таблица1[Количество складов],MATCH(1,(Таблица1[Дата]=Лист1!A359)*(Таблица1[Территория]=Лист1!C359),0))</f>
        <v>15</v>
      </c>
      <c r="I359" s="26" cm="1">
        <f t="array" ref="I359">INDEX(Таблица1[Количество заказов],MATCH(1,(Таблица1[Дата]=Лист1!A359)*(Таблица1[Территория]=Лист1!C359),0))</f>
        <v>654</v>
      </c>
      <c r="J359" s="26" cm="1">
        <f t="array" ref="J359">INDEX(Таблица1[Количество клиентов],MATCH(1,(Таблица1[Дата]=Лист1!A359)*(Таблица1[Территория]=Лист1!C359),0))</f>
        <v>570</v>
      </c>
    </row>
    <row r="360" spans="1:10" x14ac:dyDescent="0.3">
      <c r="A360" s="13">
        <v>43955</v>
      </c>
      <c r="B360" s="35">
        <f t="shared" si="5"/>
        <v>19</v>
      </c>
      <c r="C360" s="14" t="s">
        <v>11</v>
      </c>
      <c r="D360" s="25">
        <v>11062.5</v>
      </c>
      <c r="E360" s="28">
        <v>906343.5</v>
      </c>
      <c r="F360" s="28">
        <v>762082.74899999995</v>
      </c>
      <c r="G360" s="29">
        <v>125305.56399230768</v>
      </c>
      <c r="H360" s="25" cm="1">
        <f t="array" ref="H360">INDEX(Таблица1[Количество складов],MATCH(1,(Таблица1[Дата]=Лист1!A360)*(Таблица1[Территория]=Лист1!C360),0))</f>
        <v>15</v>
      </c>
      <c r="I360" s="25" cm="1">
        <f t="array" ref="I360">INDEX(Таблица1[Количество заказов],MATCH(1,(Таблица1[Дата]=Лист1!A360)*(Таблица1[Территория]=Лист1!C360),0))</f>
        <v>622</v>
      </c>
      <c r="J360" s="25" cm="1">
        <f t="array" ref="J360">INDEX(Таблица1[Количество клиентов],MATCH(1,(Таблица1[Дата]=Лист1!A360)*(Таблица1[Территория]=Лист1!C360),0))</f>
        <v>538</v>
      </c>
    </row>
    <row r="361" spans="1:10" x14ac:dyDescent="0.3">
      <c r="A361" s="15">
        <v>43953</v>
      </c>
      <c r="B361" s="36">
        <f t="shared" si="5"/>
        <v>18</v>
      </c>
      <c r="C361" s="16" t="s">
        <v>11</v>
      </c>
      <c r="D361" s="26">
        <v>10018.5</v>
      </c>
      <c r="E361" s="30">
        <v>816859.5</v>
      </c>
      <c r="F361" s="30">
        <v>697541.2969999999</v>
      </c>
      <c r="G361" s="31">
        <v>106508.82307692307</v>
      </c>
      <c r="H361" s="26" cm="1">
        <f t="array" ref="H361">INDEX(Таблица1[Количество складов],MATCH(1,(Таблица1[Дата]=Лист1!A361)*(Таблица1[Территория]=Лист1!C361),0))</f>
        <v>15</v>
      </c>
      <c r="I361" s="26" cm="1">
        <f t="array" ref="I361">INDEX(Таблица1[Количество заказов],MATCH(1,(Таблица1[Дата]=Лист1!A361)*(Таблица1[Территория]=Лист1!C361),0))</f>
        <v>567</v>
      </c>
      <c r="J361" s="26" cm="1">
        <f t="array" ref="J361">INDEX(Таблица1[Количество клиентов],MATCH(1,(Таблица1[Дата]=Лист1!A361)*(Таблица1[Территория]=Лист1!C361),0))</f>
        <v>493</v>
      </c>
    </row>
    <row r="362" spans="1:10" x14ac:dyDescent="0.3">
      <c r="A362" s="13">
        <v>43977</v>
      </c>
      <c r="B362" s="35">
        <f t="shared" si="5"/>
        <v>22</v>
      </c>
      <c r="C362" s="14" t="s">
        <v>18</v>
      </c>
      <c r="D362" s="25">
        <v>10437</v>
      </c>
      <c r="E362" s="28">
        <v>833815.5</v>
      </c>
      <c r="F362" s="28">
        <v>737888.36599999992</v>
      </c>
      <c r="G362" s="29">
        <v>39424.853846153841</v>
      </c>
      <c r="H362" s="25" cm="1">
        <f t="array" ref="H362">INDEX(Таблица1[Количество складов],MATCH(1,(Таблица1[Дата]=Лист1!A362)*(Таблица1[Территория]=Лист1!C362),0))</f>
        <v>7</v>
      </c>
      <c r="I362" s="25" cm="1">
        <f t="array" ref="I362">INDEX(Таблица1[Количество заказов],MATCH(1,(Таблица1[Дата]=Лист1!A362)*(Таблица1[Территория]=Лист1!C362),0))</f>
        <v>577</v>
      </c>
      <c r="J362" s="25" cm="1">
        <f t="array" ref="J362">INDEX(Таблица1[Количество клиентов],MATCH(1,(Таблица1[Дата]=Лист1!A362)*(Таблица1[Территория]=Лист1!C362),0))</f>
        <v>389</v>
      </c>
    </row>
    <row r="363" spans="1:10" x14ac:dyDescent="0.3">
      <c r="A363" s="15">
        <v>43952</v>
      </c>
      <c r="B363" s="36">
        <f t="shared" si="5"/>
        <v>18</v>
      </c>
      <c r="C363" s="16" t="s">
        <v>11</v>
      </c>
      <c r="D363" s="26">
        <v>13644</v>
      </c>
      <c r="E363" s="30">
        <v>1134444</v>
      </c>
      <c r="F363" s="30">
        <v>971710.87099999993</v>
      </c>
      <c r="G363" s="31">
        <v>291527.8831384615</v>
      </c>
      <c r="H363" s="26" cm="1">
        <f t="array" ref="H363">INDEX(Таблица1[Количество складов],MATCH(1,(Таблица1[Дата]=Лист1!A363)*(Таблица1[Территория]=Лист1!C363),0))</f>
        <v>15</v>
      </c>
      <c r="I363" s="26" cm="1">
        <f t="array" ref="I363">INDEX(Таблица1[Количество заказов],MATCH(1,(Таблица1[Дата]=Лист1!A363)*(Таблица1[Территория]=Лист1!C363),0))</f>
        <v>721</v>
      </c>
      <c r="J363" s="26" cm="1">
        <f t="array" ref="J363">INDEX(Таблица1[Количество клиентов],MATCH(1,(Таблица1[Дата]=Лист1!A363)*(Таблица1[Территория]=Лист1!C363),0))</f>
        <v>625</v>
      </c>
    </row>
    <row r="364" spans="1:10" x14ac:dyDescent="0.3">
      <c r="A364" s="13">
        <v>43963</v>
      </c>
      <c r="B364" s="35">
        <f t="shared" si="5"/>
        <v>20</v>
      </c>
      <c r="C364" s="14" t="s">
        <v>11</v>
      </c>
      <c r="D364" s="25">
        <v>13443</v>
      </c>
      <c r="E364" s="28">
        <v>1092277.5</v>
      </c>
      <c r="F364" s="28">
        <v>921493.48300000001</v>
      </c>
      <c r="G364" s="29">
        <v>218151.6</v>
      </c>
      <c r="H364" s="25" cm="1">
        <f t="array" ref="H364">INDEX(Таблица1[Количество складов],MATCH(1,(Таблица1[Дата]=Лист1!A364)*(Таблица1[Территория]=Лист1!C364),0))</f>
        <v>15</v>
      </c>
      <c r="I364" s="25" cm="1">
        <f t="array" ref="I364">INDEX(Таблица1[Количество заказов],MATCH(1,(Таблица1[Дата]=Лист1!A364)*(Таблица1[Территория]=Лист1!C364),0))</f>
        <v>750</v>
      </c>
      <c r="J364" s="25" cm="1">
        <f t="array" ref="J364">INDEX(Таблица1[Количество клиентов],MATCH(1,(Таблица1[Дата]=Лист1!A364)*(Таблица1[Территория]=Лист1!C364),0))</f>
        <v>659</v>
      </c>
    </row>
    <row r="365" spans="1:10" x14ac:dyDescent="0.3">
      <c r="A365" s="15">
        <v>43972</v>
      </c>
      <c r="B365" s="36">
        <f t="shared" si="5"/>
        <v>21</v>
      </c>
      <c r="C365" s="16" t="s">
        <v>11</v>
      </c>
      <c r="D365" s="26">
        <v>14182.5</v>
      </c>
      <c r="E365" s="30">
        <v>1172574</v>
      </c>
      <c r="F365" s="30">
        <v>968784.86499999987</v>
      </c>
      <c r="G365" s="31">
        <v>94547</v>
      </c>
      <c r="H365" s="26" cm="1">
        <f t="array" ref="H365">INDEX(Таблица1[Количество складов],MATCH(1,(Таблица1[Дата]=Лист1!A365)*(Таблица1[Территория]=Лист1!C365),0))</f>
        <v>18</v>
      </c>
      <c r="I365" s="26" cm="1">
        <f t="array" ref="I365">INDEX(Таблица1[Количество заказов],MATCH(1,(Таблица1[Дата]=Лист1!A365)*(Таблица1[Территория]=Лист1!C365),0))</f>
        <v>888</v>
      </c>
      <c r="J365" s="26" cm="1">
        <f t="array" ref="J365">INDEX(Таблица1[Количество клиентов],MATCH(1,(Таблица1[Дата]=Лист1!A365)*(Таблица1[Территория]=Лист1!C365),0))</f>
        <v>786</v>
      </c>
    </row>
    <row r="366" spans="1:10" x14ac:dyDescent="0.3">
      <c r="A366" s="13">
        <v>43971</v>
      </c>
      <c r="B366" s="35">
        <f t="shared" si="5"/>
        <v>21</v>
      </c>
      <c r="C366" s="14" t="s">
        <v>11</v>
      </c>
      <c r="D366" s="25">
        <v>14928</v>
      </c>
      <c r="E366" s="28">
        <v>1217749.5</v>
      </c>
      <c r="F366" s="28">
        <v>1025585.5199999999</v>
      </c>
      <c r="G366" s="29">
        <v>84618.754369230766</v>
      </c>
      <c r="H366" s="25" cm="1">
        <f t="array" ref="H366">INDEX(Таблица1[Количество складов],MATCH(1,(Таблица1[Дата]=Лист1!A366)*(Таблица1[Территория]=Лист1!C366),0))</f>
        <v>17</v>
      </c>
      <c r="I366" s="25" cm="1">
        <f t="array" ref="I366">INDEX(Таблица1[Количество заказов],MATCH(1,(Таблица1[Дата]=Лист1!A366)*(Таблица1[Территория]=Лист1!C366),0))</f>
        <v>890</v>
      </c>
      <c r="J366" s="25" cm="1">
        <f t="array" ref="J366">INDEX(Таблица1[Количество клиентов],MATCH(1,(Таблица1[Дата]=Лист1!A366)*(Таблица1[Территория]=Лист1!C366),0))</f>
        <v>794</v>
      </c>
    </row>
    <row r="367" spans="1:10" x14ac:dyDescent="0.3">
      <c r="A367" s="15">
        <v>43956</v>
      </c>
      <c r="B367" s="36">
        <f t="shared" si="5"/>
        <v>19</v>
      </c>
      <c r="C367" s="16" t="s">
        <v>11</v>
      </c>
      <c r="D367" s="26">
        <v>13941</v>
      </c>
      <c r="E367" s="30">
        <v>1145575.5</v>
      </c>
      <c r="F367" s="30">
        <v>974448.12600000005</v>
      </c>
      <c r="G367" s="31">
        <v>152152.96544615386</v>
      </c>
      <c r="H367" s="26" cm="1">
        <f t="array" ref="H367">INDEX(Таблица1[Количество складов],MATCH(1,(Таблица1[Дата]=Лист1!A367)*(Таблица1[Территория]=Лист1!C367),0))</f>
        <v>15</v>
      </c>
      <c r="I367" s="26" cm="1">
        <f t="array" ref="I367">INDEX(Таблица1[Количество заказов],MATCH(1,(Таблица1[Дата]=Лист1!A367)*(Таблица1[Территория]=Лист1!C367),0))</f>
        <v>750</v>
      </c>
      <c r="J367" s="26" cm="1">
        <f t="array" ref="J367">INDEX(Таблица1[Количество клиентов],MATCH(1,(Таблица1[Дата]=Лист1!A367)*(Таблица1[Территория]=Лист1!C367),0))</f>
        <v>658</v>
      </c>
    </row>
    <row r="368" spans="1:10" x14ac:dyDescent="0.3">
      <c r="A368" s="13">
        <v>43964</v>
      </c>
      <c r="B368" s="35">
        <f t="shared" si="5"/>
        <v>20</v>
      </c>
      <c r="C368" s="14" t="s">
        <v>11</v>
      </c>
      <c r="D368" s="25">
        <v>14643</v>
      </c>
      <c r="E368" s="28">
        <v>1172691</v>
      </c>
      <c r="F368" s="28">
        <v>971555.08299999998</v>
      </c>
      <c r="G368" s="29">
        <v>124018.33614615384</v>
      </c>
      <c r="H368" s="25" cm="1">
        <f t="array" ref="H368">INDEX(Таблица1[Количество складов],MATCH(1,(Таблица1[Дата]=Лист1!A368)*(Таблица1[Территория]=Лист1!C368),0))</f>
        <v>15</v>
      </c>
      <c r="I368" s="25" cm="1">
        <f t="array" ref="I368">INDEX(Таблица1[Количество заказов],MATCH(1,(Таблица1[Дата]=Лист1!A368)*(Таблица1[Территория]=Лист1!C368),0))</f>
        <v>854</v>
      </c>
      <c r="J368" s="25" cm="1">
        <f t="array" ref="J368">INDEX(Таблица1[Количество клиентов],MATCH(1,(Таблица1[Дата]=Лист1!A368)*(Таблица1[Территория]=Лист1!C368),0))</f>
        <v>756</v>
      </c>
    </row>
    <row r="369" spans="1:10" x14ac:dyDescent="0.3">
      <c r="A369" s="15">
        <v>43954</v>
      </c>
      <c r="B369" s="36">
        <f t="shared" si="5"/>
        <v>18</v>
      </c>
      <c r="C369" s="16" t="s">
        <v>11</v>
      </c>
      <c r="D369" s="26">
        <v>10032</v>
      </c>
      <c r="E369" s="30">
        <v>816150</v>
      </c>
      <c r="F369" s="30">
        <v>698626.03299999994</v>
      </c>
      <c r="G369" s="31">
        <v>97812.892307692295</v>
      </c>
      <c r="H369" s="26" cm="1">
        <f t="array" ref="H369">INDEX(Таблица1[Количество складов],MATCH(1,(Таблица1[Дата]=Лист1!A369)*(Таблица1[Территория]=Лист1!C369),0))</f>
        <v>15</v>
      </c>
      <c r="I369" s="26" cm="1">
        <f t="array" ref="I369">INDEX(Таблица1[Количество заказов],MATCH(1,(Таблица1[Дата]=Лист1!A369)*(Таблица1[Территория]=Лист1!C369),0))</f>
        <v>585</v>
      </c>
      <c r="J369" s="26" cm="1">
        <f t="array" ref="J369">INDEX(Таблица1[Количество клиентов],MATCH(1,(Таблица1[Дата]=Лист1!A369)*(Таблица1[Территория]=Лист1!C369),0))</f>
        <v>502</v>
      </c>
    </row>
    <row r="370" spans="1:10" x14ac:dyDescent="0.3">
      <c r="A370" s="13">
        <v>43957</v>
      </c>
      <c r="B370" s="35">
        <f t="shared" si="5"/>
        <v>19</v>
      </c>
      <c r="C370" s="14" t="s">
        <v>11</v>
      </c>
      <c r="D370" s="25">
        <v>12468</v>
      </c>
      <c r="E370" s="28">
        <v>1016566.5</v>
      </c>
      <c r="F370" s="28">
        <v>858367.60399999993</v>
      </c>
      <c r="G370" s="29">
        <v>88833.638169230762</v>
      </c>
      <c r="H370" s="25" cm="1">
        <f t="array" ref="H370">INDEX(Таблица1[Количество складов],MATCH(1,(Таблица1[Дата]=Лист1!A370)*(Таблица1[Территория]=Лист1!C370),0))</f>
        <v>15</v>
      </c>
      <c r="I370" s="25" cm="1">
        <f t="array" ref="I370">INDEX(Таблица1[Количество заказов],MATCH(1,(Таблица1[Дата]=Лист1!A370)*(Таблица1[Территория]=Лист1!C370),0))</f>
        <v>701</v>
      </c>
      <c r="J370" s="25" cm="1">
        <f t="array" ref="J370">INDEX(Таблица1[Количество клиентов],MATCH(1,(Таблица1[Дата]=Лист1!A370)*(Таблица1[Территория]=Лист1!C370),0))</f>
        <v>611</v>
      </c>
    </row>
    <row r="371" spans="1:10" x14ac:dyDescent="0.3">
      <c r="A371" s="15">
        <v>43974</v>
      </c>
      <c r="B371" s="36">
        <f t="shared" si="5"/>
        <v>21</v>
      </c>
      <c r="C371" s="16" t="s">
        <v>11</v>
      </c>
      <c r="D371" s="26">
        <v>17943</v>
      </c>
      <c r="E371" s="30">
        <v>1457391</v>
      </c>
      <c r="F371" s="30">
        <v>1194154.7659999998</v>
      </c>
      <c r="G371" s="31">
        <v>124621.03076923077</v>
      </c>
      <c r="H371" s="26" cm="1">
        <f t="array" ref="H371">INDEX(Таблица1[Количество складов],MATCH(1,(Таблица1[Дата]=Лист1!A371)*(Таблица1[Территория]=Лист1!C371),0))</f>
        <v>18</v>
      </c>
      <c r="I371" s="26" cm="1">
        <f t="array" ref="I371">INDEX(Таблица1[Количество заказов],MATCH(1,(Таблица1[Дата]=Лист1!A371)*(Таблица1[Территория]=Лист1!C371),0))</f>
        <v>1031</v>
      </c>
      <c r="J371" s="26" cm="1">
        <f t="array" ref="J371">INDEX(Таблица1[Количество клиентов],MATCH(1,(Таблица1[Дата]=Лист1!A371)*(Таблица1[Территория]=Лист1!C371),0))</f>
        <v>918</v>
      </c>
    </row>
    <row r="372" spans="1:10" x14ac:dyDescent="0.3">
      <c r="A372" s="13">
        <v>43976</v>
      </c>
      <c r="B372" s="35">
        <f t="shared" si="5"/>
        <v>22</v>
      </c>
      <c r="C372" s="14" t="s">
        <v>11</v>
      </c>
      <c r="D372" s="25">
        <v>15807</v>
      </c>
      <c r="E372" s="28">
        <v>1326705</v>
      </c>
      <c r="F372" s="28">
        <v>1070563.6439999999</v>
      </c>
      <c r="G372" s="29">
        <v>123343.24153846155</v>
      </c>
      <c r="H372" s="25" cm="1">
        <f t="array" ref="H372">INDEX(Таблица1[Количество складов],MATCH(1,(Таблица1[Дата]=Лист1!A372)*(Таблица1[Территория]=Лист1!C372),0))</f>
        <v>18</v>
      </c>
      <c r="I372" s="25" cm="1">
        <f t="array" ref="I372">INDEX(Таблица1[Количество заказов],MATCH(1,(Таблица1[Дата]=Лист1!A372)*(Таблица1[Территория]=Лист1!C372),0))</f>
        <v>989</v>
      </c>
      <c r="J372" s="25" cm="1">
        <f t="array" ref="J372">INDEX(Таблица1[Количество клиентов],MATCH(1,(Таблица1[Дата]=Лист1!A372)*(Таблица1[Территория]=Лист1!C372),0))</f>
        <v>887</v>
      </c>
    </row>
    <row r="373" spans="1:10" x14ac:dyDescent="0.3">
      <c r="A373" s="15">
        <v>43951</v>
      </c>
      <c r="B373" s="36">
        <f t="shared" si="5"/>
        <v>18</v>
      </c>
      <c r="C373" s="16" t="s">
        <v>11</v>
      </c>
      <c r="D373" s="26">
        <v>11976</v>
      </c>
      <c r="E373" s="30">
        <v>1004511</v>
      </c>
      <c r="F373" s="30">
        <v>861334.61399999994</v>
      </c>
      <c r="G373" s="31">
        <v>20847.353846153845</v>
      </c>
      <c r="H373" s="26" cm="1">
        <f t="array" ref="H373">INDEX(Таблица1[Количество складов],MATCH(1,(Таблица1[Дата]=Лист1!A373)*(Таблица1[Территория]=Лист1!C373),0))</f>
        <v>15</v>
      </c>
      <c r="I373" s="26" cm="1">
        <f t="array" ref="I373">INDEX(Таблица1[Количество заказов],MATCH(1,(Таблица1[Дата]=Лист1!A373)*(Таблица1[Территория]=Лист1!C373),0))</f>
        <v>644</v>
      </c>
      <c r="J373" s="26" cm="1">
        <f t="array" ref="J373">INDEX(Таблица1[Количество клиентов],MATCH(1,(Таблица1[Дата]=Лист1!A373)*(Таблица1[Территория]=Лист1!C373),0))</f>
        <v>550</v>
      </c>
    </row>
    <row r="374" spans="1:10" x14ac:dyDescent="0.3">
      <c r="A374" s="13">
        <v>43961</v>
      </c>
      <c r="B374" s="35">
        <f t="shared" si="5"/>
        <v>19</v>
      </c>
      <c r="C374" s="14" t="s">
        <v>11</v>
      </c>
      <c r="D374" s="25">
        <v>14566.5</v>
      </c>
      <c r="E374" s="28">
        <v>1216557</v>
      </c>
      <c r="F374" s="28">
        <v>1013050.3829999999</v>
      </c>
      <c r="G374" s="29">
        <v>102510.40189230769</v>
      </c>
      <c r="H374" s="25" cm="1">
        <f t="array" ref="H374">INDEX(Таблица1[Количество складов],MATCH(1,(Таблица1[Дата]=Лист1!A374)*(Таблица1[Территория]=Лист1!C374),0))</f>
        <v>15</v>
      </c>
      <c r="I374" s="25" cm="1">
        <f t="array" ref="I374">INDEX(Таблица1[Количество заказов],MATCH(1,(Таблица1[Дата]=Лист1!A374)*(Таблица1[Территория]=Лист1!C374),0))</f>
        <v>792</v>
      </c>
      <c r="J374" s="25" cm="1">
        <f t="array" ref="J374">INDEX(Таблица1[Количество клиентов],MATCH(1,(Таблица1[Дата]=Лист1!A374)*(Таблица1[Территория]=Лист1!C374),0))</f>
        <v>695</v>
      </c>
    </row>
    <row r="375" spans="1:10" x14ac:dyDescent="0.3">
      <c r="A375" s="15">
        <v>43959</v>
      </c>
      <c r="B375" s="36">
        <f t="shared" si="5"/>
        <v>19</v>
      </c>
      <c r="C375" s="16" t="s">
        <v>11</v>
      </c>
      <c r="D375" s="26">
        <v>12976.5</v>
      </c>
      <c r="E375" s="30">
        <v>1046848.5</v>
      </c>
      <c r="F375" s="30">
        <v>892743.74599999993</v>
      </c>
      <c r="G375" s="31">
        <v>396844.24095384614</v>
      </c>
      <c r="H375" s="26" cm="1">
        <f t="array" ref="H375">INDEX(Таблица1[Количество складов],MATCH(1,(Таблица1[Дата]=Лист1!A375)*(Таблица1[Территория]=Лист1!C375),0))</f>
        <v>15</v>
      </c>
      <c r="I375" s="26" cm="1">
        <f t="array" ref="I375">INDEX(Таблица1[Количество заказов],MATCH(1,(Таблица1[Дата]=Лист1!A375)*(Таблица1[Территория]=Лист1!C375),0))</f>
        <v>703</v>
      </c>
      <c r="J375" s="26" cm="1">
        <f t="array" ref="J375">INDEX(Таблица1[Количество клиентов],MATCH(1,(Таблица1[Дата]=Лист1!A375)*(Таблица1[Территория]=Лист1!C375),0))</f>
        <v>609</v>
      </c>
    </row>
    <row r="376" spans="1:10" x14ac:dyDescent="0.3">
      <c r="A376" s="13">
        <v>43958</v>
      </c>
      <c r="B376" s="35">
        <f t="shared" si="5"/>
        <v>19</v>
      </c>
      <c r="C376" s="14" t="s">
        <v>11</v>
      </c>
      <c r="D376" s="25">
        <v>11719.5</v>
      </c>
      <c r="E376" s="28">
        <v>965880</v>
      </c>
      <c r="F376" s="28">
        <v>809986.38600000006</v>
      </c>
      <c r="G376" s="29">
        <v>106745.03623846154</v>
      </c>
      <c r="H376" s="25" cm="1">
        <f t="array" ref="H376">INDEX(Таблица1[Количество складов],MATCH(1,(Таблица1[Дата]=Лист1!A376)*(Таблица1[Территория]=Лист1!C376),0))</f>
        <v>15</v>
      </c>
      <c r="I376" s="25" cm="1">
        <f t="array" ref="I376">INDEX(Таблица1[Количество заказов],MATCH(1,(Таблица1[Дата]=Лист1!A376)*(Таблица1[Территория]=Лист1!C376),0))</f>
        <v>676</v>
      </c>
      <c r="J376" s="25" cm="1">
        <f t="array" ref="J376">INDEX(Таблица1[Количество клиентов],MATCH(1,(Таблица1[Дата]=Лист1!A376)*(Таблица1[Территория]=Лист1!C376),0))</f>
        <v>591</v>
      </c>
    </row>
    <row r="377" spans="1:10" x14ac:dyDescent="0.3">
      <c r="A377" s="15">
        <v>43975</v>
      </c>
      <c r="B377" s="36">
        <f t="shared" si="5"/>
        <v>21</v>
      </c>
      <c r="C377" s="16" t="s">
        <v>11</v>
      </c>
      <c r="D377" s="26">
        <v>17197.5</v>
      </c>
      <c r="E377" s="30">
        <v>1386262.5</v>
      </c>
      <c r="F377" s="30">
        <v>1130117.3810000001</v>
      </c>
      <c r="G377" s="31">
        <v>121581.84923076924</v>
      </c>
      <c r="H377" s="26" cm="1">
        <f t="array" ref="H377">INDEX(Таблица1[Количество складов],MATCH(1,(Таблица1[Дата]=Лист1!A377)*(Таблица1[Территория]=Лист1!C377),0))</f>
        <v>18</v>
      </c>
      <c r="I377" s="26" cm="1">
        <f t="array" ref="I377">INDEX(Таблица1[Количество заказов],MATCH(1,(Таблица1[Дата]=Лист1!A377)*(Таблица1[Территория]=Лист1!C377),0))</f>
        <v>1006</v>
      </c>
      <c r="J377" s="26" cm="1">
        <f t="array" ref="J377">INDEX(Таблица1[Количество клиентов],MATCH(1,(Таблица1[Дата]=Лист1!A377)*(Таблица1[Территория]=Лист1!C377),0))</f>
        <v>904</v>
      </c>
    </row>
    <row r="378" spans="1:10" x14ac:dyDescent="0.3">
      <c r="A378" s="13">
        <v>43977</v>
      </c>
      <c r="B378" s="35">
        <f t="shared" si="5"/>
        <v>22</v>
      </c>
      <c r="C378" s="14" t="s">
        <v>11</v>
      </c>
      <c r="D378" s="25">
        <v>14419.5</v>
      </c>
      <c r="E378" s="28">
        <v>1210456.5</v>
      </c>
      <c r="F378" s="28">
        <v>970917.12399999995</v>
      </c>
      <c r="G378" s="29">
        <v>88147.13846153846</v>
      </c>
      <c r="H378" s="25" cm="1">
        <f t="array" ref="H378">INDEX(Таблица1[Количество складов],MATCH(1,(Таблица1[Дата]=Лист1!A378)*(Таблица1[Территория]=Лист1!C378),0))</f>
        <v>18</v>
      </c>
      <c r="I378" s="25" cm="1">
        <f t="array" ref="I378">INDEX(Таблица1[Количество заказов],MATCH(1,(Таблица1[Дата]=Лист1!A378)*(Таблица1[Территория]=Лист1!C378),0))</f>
        <v>914</v>
      </c>
      <c r="J378" s="25" cm="1">
        <f t="array" ref="J378">INDEX(Таблица1[Количество клиентов],MATCH(1,(Таблица1[Дата]=Лист1!A378)*(Таблица1[Территория]=Лист1!C378),0))</f>
        <v>804</v>
      </c>
    </row>
    <row r="379" spans="1:10" x14ac:dyDescent="0.3">
      <c r="A379" s="15">
        <v>43983</v>
      </c>
      <c r="B379" s="36">
        <f t="shared" si="5"/>
        <v>23</v>
      </c>
      <c r="C379" s="16" t="s">
        <v>14</v>
      </c>
      <c r="D379" s="26">
        <v>7816.5</v>
      </c>
      <c r="E379" s="30">
        <v>636345</v>
      </c>
      <c r="F379" s="30">
        <v>550528.66300000006</v>
      </c>
      <c r="G379" s="31">
        <v>190344.3008</v>
      </c>
      <c r="H379" s="26" cm="1">
        <f t="array" ref="H379">INDEX(Таблица1[Количество складов],MATCH(1,(Таблица1[Дата]=Лист1!A379)*(Таблица1[Территория]=Лист1!C379),0))</f>
        <v>15</v>
      </c>
      <c r="I379" s="26" cm="1">
        <f t="array" ref="I379">INDEX(Таблица1[Количество заказов],MATCH(1,(Таблица1[Дата]=Лист1!A379)*(Таблица1[Территория]=Лист1!C379),0))</f>
        <v>453</v>
      </c>
      <c r="J379" s="26" cm="1">
        <f t="array" ref="J379">INDEX(Таблица1[Количество клиентов],MATCH(1,(Таблица1[Дата]=Лист1!A379)*(Таблица1[Территория]=Лист1!C379),0))</f>
        <v>370</v>
      </c>
    </row>
    <row r="380" spans="1:10" x14ac:dyDescent="0.3">
      <c r="A380" s="13">
        <v>43982</v>
      </c>
      <c r="B380" s="35">
        <f t="shared" si="5"/>
        <v>22</v>
      </c>
      <c r="C380" s="14" t="s">
        <v>20</v>
      </c>
      <c r="D380" s="25">
        <v>6409.5</v>
      </c>
      <c r="E380" s="28">
        <v>493893</v>
      </c>
      <c r="F380" s="28">
        <v>459762.61999999994</v>
      </c>
      <c r="G380" s="29">
        <v>28040.97692307692</v>
      </c>
      <c r="H380" s="25" cm="1">
        <f t="array" ref="H380">INDEX(Таблица1[Количество складов],MATCH(1,(Таблица1[Дата]=Лист1!A380)*(Таблица1[Территория]=Лист1!C380),0))</f>
        <v>9</v>
      </c>
      <c r="I380" s="25" cm="1">
        <f t="array" ref="I380">INDEX(Таблица1[Количество заказов],MATCH(1,(Таблица1[Дата]=Лист1!A380)*(Таблица1[Территория]=Лист1!C380),0))</f>
        <v>345</v>
      </c>
      <c r="J380" s="25" cm="1">
        <f t="array" ref="J380">INDEX(Таблица1[Количество клиентов],MATCH(1,(Таблица1[Дата]=Лист1!A380)*(Таблица1[Территория]=Лист1!C380),0))</f>
        <v>255</v>
      </c>
    </row>
    <row r="381" spans="1:10" x14ac:dyDescent="0.3">
      <c r="A381" s="15">
        <v>43981</v>
      </c>
      <c r="B381" s="36">
        <f t="shared" si="5"/>
        <v>22</v>
      </c>
      <c r="C381" s="16" t="s">
        <v>18</v>
      </c>
      <c r="D381" s="26">
        <v>11220</v>
      </c>
      <c r="E381" s="30">
        <v>928675.5</v>
      </c>
      <c r="F381" s="30">
        <v>802403.80799999996</v>
      </c>
      <c r="G381" s="31">
        <v>136423.60523076923</v>
      </c>
      <c r="H381" s="26" cm="1">
        <f t="array" ref="H381">INDEX(Таблица1[Количество складов],MATCH(1,(Таблица1[Дата]=Лист1!A381)*(Таблица1[Территория]=Лист1!C381),0))</f>
        <v>7</v>
      </c>
      <c r="I381" s="26" cm="1">
        <f t="array" ref="I381">INDEX(Таблица1[Количество заказов],MATCH(1,(Таблица1[Дата]=Лист1!A381)*(Таблица1[Территория]=Лист1!C381),0))</f>
        <v>532</v>
      </c>
      <c r="J381" s="26" cm="1">
        <f t="array" ref="J381">INDEX(Таблица1[Количество клиентов],MATCH(1,(Таблица1[Дата]=Лист1!A381)*(Таблица1[Территория]=Лист1!C381),0))</f>
        <v>449</v>
      </c>
    </row>
    <row r="382" spans="1:10" x14ac:dyDescent="0.3">
      <c r="A382" s="13">
        <v>43980</v>
      </c>
      <c r="B382" s="35">
        <f t="shared" si="5"/>
        <v>22</v>
      </c>
      <c r="C382" s="14" t="s">
        <v>14</v>
      </c>
      <c r="D382" s="25">
        <v>8350.5</v>
      </c>
      <c r="E382" s="28">
        <v>651237</v>
      </c>
      <c r="F382" s="28">
        <v>601485.12600000005</v>
      </c>
      <c r="G382" s="29">
        <v>83014.635053846156</v>
      </c>
      <c r="H382" s="25" cm="1">
        <f t="array" ref="H382">INDEX(Таблица1[Количество складов],MATCH(1,(Таблица1[Дата]=Лист1!A382)*(Таблица1[Территория]=Лист1!C382),0))</f>
        <v>15</v>
      </c>
      <c r="I382" s="25" cm="1">
        <f t="array" ref="I382">INDEX(Таблица1[Количество заказов],MATCH(1,(Таблица1[Дата]=Лист1!A382)*(Таблица1[Территория]=Лист1!C382),0))</f>
        <v>400</v>
      </c>
      <c r="J382" s="25" cm="1">
        <f t="array" ref="J382">INDEX(Таблица1[Количество клиентов],MATCH(1,(Таблица1[Дата]=Лист1!A382)*(Таблица1[Территория]=Лист1!C382),0))</f>
        <v>329</v>
      </c>
    </row>
    <row r="383" spans="1:10" x14ac:dyDescent="0.3">
      <c r="A383" s="15">
        <v>43979</v>
      </c>
      <c r="B383" s="36">
        <f t="shared" si="5"/>
        <v>22</v>
      </c>
      <c r="C383" s="16" t="s">
        <v>18</v>
      </c>
      <c r="D383" s="26">
        <v>8428.5</v>
      </c>
      <c r="E383" s="30">
        <v>694669.5</v>
      </c>
      <c r="F383" s="30">
        <v>594994.696</v>
      </c>
      <c r="G383" s="31">
        <v>42699.38461538461</v>
      </c>
      <c r="H383" s="26" cm="1">
        <f t="array" ref="H383">INDEX(Таблица1[Количество складов],MATCH(1,(Таблица1[Дата]=Лист1!A383)*(Таблица1[Территория]=Лист1!C383),0))</f>
        <v>7</v>
      </c>
      <c r="I383" s="26" cm="1">
        <f t="array" ref="I383">INDEX(Таблица1[Количество заказов],MATCH(1,(Таблица1[Дата]=Лист1!A383)*(Таблица1[Территория]=Лист1!C383),0))</f>
        <v>420</v>
      </c>
      <c r="J383" s="26" cm="1">
        <f t="array" ref="J383">INDEX(Таблица1[Количество клиентов],MATCH(1,(Таблица1[Дата]=Лист1!A383)*(Таблица1[Территория]=Лист1!C383),0))</f>
        <v>347</v>
      </c>
    </row>
    <row r="384" spans="1:10" x14ac:dyDescent="0.3">
      <c r="A384" s="13">
        <v>43978</v>
      </c>
      <c r="B384" s="35">
        <f t="shared" si="5"/>
        <v>22</v>
      </c>
      <c r="C384" s="14" t="s">
        <v>6</v>
      </c>
      <c r="D384" s="25">
        <v>32817</v>
      </c>
      <c r="E384" s="28">
        <v>3015751.5</v>
      </c>
      <c r="F384" s="28">
        <v>2415980.7719999999</v>
      </c>
      <c r="G384" s="29">
        <v>346048.63569230767</v>
      </c>
      <c r="H384" s="25" cm="1">
        <f t="array" ref="H384">INDEX(Таблица1[Количество складов],MATCH(1,(Таблица1[Дата]=Лист1!A384)*(Таблица1[Территория]=Лист1!C384),0))</f>
        <v>20</v>
      </c>
      <c r="I384" s="25" cm="1">
        <f t="array" ref="I384">INDEX(Таблица1[Количество заказов],MATCH(1,(Таблица1[Дата]=Лист1!A384)*(Таблица1[Территория]=Лист1!C384),0))</f>
        <v>2079</v>
      </c>
      <c r="J384" s="25" cm="1">
        <f t="array" ref="J384">INDEX(Таблица1[Количество клиентов],MATCH(1,(Таблица1[Дата]=Лист1!A384)*(Таблица1[Территория]=Лист1!C384),0))</f>
        <v>1893</v>
      </c>
    </row>
    <row r="385" spans="1:10" x14ac:dyDescent="0.3">
      <c r="A385" s="15">
        <v>43973</v>
      </c>
      <c r="B385" s="36">
        <f t="shared" si="5"/>
        <v>21</v>
      </c>
      <c r="C385" s="16" t="s">
        <v>6</v>
      </c>
      <c r="D385" s="26">
        <v>36031.5</v>
      </c>
      <c r="E385" s="30">
        <v>3091069.5</v>
      </c>
      <c r="F385" s="30">
        <v>2549333.4129999997</v>
      </c>
      <c r="G385" s="31">
        <v>289900.09384615382</v>
      </c>
      <c r="H385" s="26" cm="1">
        <f t="array" ref="H385">INDEX(Таблица1[Количество складов],MATCH(1,(Таблица1[Дата]=Лист1!A385)*(Таблица1[Территория]=Лист1!C385),0))</f>
        <v>21</v>
      </c>
      <c r="I385" s="26" cm="1">
        <f t="array" ref="I385">INDEX(Таблица1[Количество заказов],MATCH(1,(Таблица1[Дата]=Лист1!A385)*(Таблица1[Территория]=Лист1!C385),0))</f>
        <v>2046</v>
      </c>
      <c r="J385" s="26" cm="1">
        <f t="array" ref="J385">INDEX(Таблица1[Количество клиентов],MATCH(1,(Таблица1[Дата]=Лист1!A385)*(Таблица1[Территория]=Лист1!C385),0))</f>
        <v>1853</v>
      </c>
    </row>
    <row r="386" spans="1:10" x14ac:dyDescent="0.3">
      <c r="A386" s="13">
        <v>43982</v>
      </c>
      <c r="B386" s="35">
        <f t="shared" si="5"/>
        <v>22</v>
      </c>
      <c r="C386" s="14" t="s">
        <v>17</v>
      </c>
      <c r="D386" s="25">
        <v>5127</v>
      </c>
      <c r="E386" s="28">
        <v>468835.5</v>
      </c>
      <c r="F386" s="28">
        <v>412625.88699999999</v>
      </c>
      <c r="G386" s="29">
        <v>8642.376923076923</v>
      </c>
      <c r="H386" s="25" cm="1">
        <f t="array" ref="H386">INDEX(Таблица1[Количество складов],MATCH(1,(Таблица1[Дата]=Лист1!A386)*(Таблица1[Территория]=Лист1!C386),0))</f>
        <v>6</v>
      </c>
      <c r="I386" s="25" cm="1">
        <f t="array" ref="I386">INDEX(Таблица1[Количество заказов],MATCH(1,(Таблица1[Дата]=Лист1!A386)*(Таблица1[Территория]=Лист1!C386),0))</f>
        <v>261</v>
      </c>
      <c r="J386" s="25" cm="1">
        <f t="array" ref="J386">INDEX(Таблица1[Количество клиентов],MATCH(1,(Таблица1[Дата]=Лист1!A386)*(Таблица1[Территория]=Лист1!C386),0))</f>
        <v>188</v>
      </c>
    </row>
    <row r="387" spans="1:10" x14ac:dyDescent="0.3">
      <c r="A387" s="15">
        <v>43962</v>
      </c>
      <c r="B387" s="36">
        <f t="shared" ref="B387:B450" si="6">_xlfn.ISOWEEKNUM(A387)</f>
        <v>20</v>
      </c>
      <c r="C387" s="16" t="s">
        <v>6</v>
      </c>
      <c r="D387" s="26">
        <v>27187.5</v>
      </c>
      <c r="E387" s="30">
        <v>2479396.5</v>
      </c>
      <c r="F387" s="30">
        <v>1950422.9030000002</v>
      </c>
      <c r="G387" s="31">
        <v>381635.95355384616</v>
      </c>
      <c r="H387" s="26" cm="1">
        <f t="array" ref="H387">INDEX(Таблица1[Количество складов],MATCH(1,(Таблица1[Дата]=Лист1!A387)*(Таблица1[Территория]=Лист1!C387),0))</f>
        <v>21</v>
      </c>
      <c r="I387" s="26" cm="1">
        <f t="array" ref="I387">INDEX(Таблица1[Количество заказов],MATCH(1,(Таблица1[Дата]=Лист1!A387)*(Таблица1[Территория]=Лист1!C387),0))</f>
        <v>1597</v>
      </c>
      <c r="J387" s="26" cm="1">
        <f t="array" ref="J387">INDEX(Таблица1[Количество клиентов],MATCH(1,(Таблица1[Дата]=Лист1!A387)*(Таблица1[Территория]=Лист1!C387),0))</f>
        <v>1457</v>
      </c>
    </row>
    <row r="388" spans="1:10" x14ac:dyDescent="0.3">
      <c r="A388" s="13">
        <v>43981</v>
      </c>
      <c r="B388" s="35">
        <f t="shared" si="6"/>
        <v>22</v>
      </c>
      <c r="C388" s="14" t="s">
        <v>11</v>
      </c>
      <c r="D388" s="25">
        <v>20688</v>
      </c>
      <c r="E388" s="28">
        <v>1773154.5</v>
      </c>
      <c r="F388" s="28">
        <v>1458979.4909999999</v>
      </c>
      <c r="G388" s="29">
        <v>98432.213407692296</v>
      </c>
      <c r="H388" s="25" cm="1">
        <f t="array" ref="H388">INDEX(Таблица1[Количество складов],MATCH(1,(Таблица1[Дата]=Лист1!A388)*(Таблица1[Территория]=Лист1!C388),0))</f>
        <v>18</v>
      </c>
      <c r="I388" s="25" cm="1">
        <f t="array" ref="I388">INDEX(Таблица1[Количество заказов],MATCH(1,(Таблица1[Дата]=Лист1!A388)*(Таблица1[Территория]=Лист1!C388),0))</f>
        <v>1216</v>
      </c>
      <c r="J388" s="25" cm="1">
        <f t="array" ref="J388">INDEX(Таблица1[Количество клиентов],MATCH(1,(Таблица1[Дата]=Лист1!A388)*(Таблица1[Территория]=Лист1!C388),0))</f>
        <v>1101</v>
      </c>
    </row>
    <row r="389" spans="1:10" x14ac:dyDescent="0.3">
      <c r="A389" s="15">
        <v>43979</v>
      </c>
      <c r="B389" s="36">
        <f t="shared" si="6"/>
        <v>22</v>
      </c>
      <c r="C389" s="16" t="s">
        <v>11</v>
      </c>
      <c r="D389" s="26">
        <v>15678</v>
      </c>
      <c r="E389" s="30">
        <v>1387443</v>
      </c>
      <c r="F389" s="30">
        <v>1121336.507</v>
      </c>
      <c r="G389" s="31">
        <v>101620.2923076923</v>
      </c>
      <c r="H389" s="26" cm="1">
        <f t="array" ref="H389">INDEX(Таблица1[Количество складов],MATCH(1,(Таблица1[Дата]=Лист1!A389)*(Таблица1[Территория]=Лист1!C389),0))</f>
        <v>18</v>
      </c>
      <c r="I389" s="26" cm="1">
        <f t="array" ref="I389">INDEX(Таблица1[Количество заказов],MATCH(1,(Таблица1[Дата]=Лист1!A389)*(Таблица1[Территория]=Лист1!C389),0))</f>
        <v>1020</v>
      </c>
      <c r="J389" s="26" cm="1">
        <f t="array" ref="J389">INDEX(Таблица1[Количество клиентов],MATCH(1,(Таблица1[Дата]=Лист1!A389)*(Таблица1[Территория]=Лист1!C389),0))</f>
        <v>911</v>
      </c>
    </row>
    <row r="390" spans="1:10" x14ac:dyDescent="0.3">
      <c r="A390" s="13">
        <v>43969</v>
      </c>
      <c r="B390" s="35">
        <f t="shared" si="6"/>
        <v>21</v>
      </c>
      <c r="C390" s="14" t="s">
        <v>6</v>
      </c>
      <c r="D390" s="25">
        <v>31329</v>
      </c>
      <c r="E390" s="28">
        <v>2826379.5</v>
      </c>
      <c r="F390" s="28">
        <v>2229453.5079999999</v>
      </c>
      <c r="G390" s="29">
        <v>331756.18072307692</v>
      </c>
      <c r="H390" s="25" cm="1">
        <f t="array" ref="H390">INDEX(Таблица1[Количество складов],MATCH(1,(Таблица1[Дата]=Лист1!A390)*(Таблица1[Территория]=Лист1!C390),0))</f>
        <v>21</v>
      </c>
      <c r="I390" s="25" cm="1">
        <f t="array" ref="I390">INDEX(Таблица1[Количество заказов],MATCH(1,(Таблица1[Дата]=Лист1!A390)*(Таблица1[Территория]=Лист1!C390),0))</f>
        <v>1834</v>
      </c>
      <c r="J390" s="25" cm="1">
        <f t="array" ref="J390">INDEX(Таблица1[Количество клиентов],MATCH(1,(Таблица1[Дата]=Лист1!A390)*(Таблица1[Территория]=Лист1!C390),0))</f>
        <v>1660</v>
      </c>
    </row>
    <row r="391" spans="1:10" x14ac:dyDescent="0.3">
      <c r="A391" s="15">
        <v>43965</v>
      </c>
      <c r="B391" s="36">
        <f t="shared" si="6"/>
        <v>20</v>
      </c>
      <c r="C391" s="16" t="s">
        <v>6</v>
      </c>
      <c r="D391" s="26">
        <v>29658</v>
      </c>
      <c r="E391" s="30">
        <v>2703132</v>
      </c>
      <c r="F391" s="30">
        <v>2160539.9959999998</v>
      </c>
      <c r="G391" s="31">
        <v>312856.16153846151</v>
      </c>
      <c r="H391" s="26" cm="1">
        <f t="array" ref="H391">INDEX(Таблица1[Количество складов],MATCH(1,(Таблица1[Дата]=Лист1!A391)*(Таблица1[Территория]=Лист1!C391),0))</f>
        <v>21</v>
      </c>
      <c r="I391" s="26" cm="1">
        <f t="array" ref="I391">INDEX(Таблица1[Количество заказов],MATCH(1,(Таблица1[Дата]=Лист1!A391)*(Таблица1[Территория]=Лист1!C391),0))</f>
        <v>1706</v>
      </c>
      <c r="J391" s="26" cm="1">
        <f t="array" ref="J391">INDEX(Таблица1[Количество клиентов],MATCH(1,(Таблица1[Дата]=Лист1!A391)*(Таблица1[Территория]=Лист1!C391),0))</f>
        <v>1548</v>
      </c>
    </row>
    <row r="392" spans="1:10" x14ac:dyDescent="0.3">
      <c r="A392" s="13">
        <v>43966</v>
      </c>
      <c r="B392" s="35">
        <f t="shared" si="6"/>
        <v>20</v>
      </c>
      <c r="C392" s="14" t="s">
        <v>6</v>
      </c>
      <c r="D392" s="25">
        <v>34150.5</v>
      </c>
      <c r="E392" s="28">
        <v>3038293.5</v>
      </c>
      <c r="F392" s="28">
        <v>2442084.5610000002</v>
      </c>
      <c r="G392" s="29">
        <v>277257.14947692305</v>
      </c>
      <c r="H392" s="25" cm="1">
        <f t="array" ref="H392">INDEX(Таблица1[Количество складов],MATCH(1,(Таблица1[Дата]=Лист1!A392)*(Таблица1[Территория]=Лист1!C392),0))</f>
        <v>21</v>
      </c>
      <c r="I392" s="25" cm="1">
        <f t="array" ref="I392">INDEX(Таблица1[Количество заказов],MATCH(1,(Таблица1[Дата]=Лист1!A392)*(Таблица1[Территория]=Лист1!C392),0))</f>
        <v>1926</v>
      </c>
      <c r="J392" s="25" cm="1">
        <f t="array" ref="J392">INDEX(Таблица1[Количество клиентов],MATCH(1,(Таблица1[Дата]=Лист1!A392)*(Таблица1[Территория]=Лист1!C392),0))</f>
        <v>1742</v>
      </c>
    </row>
    <row r="393" spans="1:10" x14ac:dyDescent="0.3">
      <c r="A393" s="15">
        <v>43983</v>
      </c>
      <c r="B393" s="36">
        <f t="shared" si="6"/>
        <v>23</v>
      </c>
      <c r="C393" s="16" t="s">
        <v>6</v>
      </c>
      <c r="D393" s="26">
        <v>31947</v>
      </c>
      <c r="E393" s="30">
        <v>2945035.5</v>
      </c>
      <c r="F393" s="30">
        <v>2320195.4450000003</v>
      </c>
      <c r="G393" s="31">
        <v>383761.6669230769</v>
      </c>
      <c r="H393" s="26" cm="1">
        <f t="array" ref="H393">INDEX(Таблица1[Количество складов],MATCH(1,(Таблица1[Дата]=Лист1!A393)*(Таблица1[Территория]=Лист1!C393),0))</f>
        <v>21</v>
      </c>
      <c r="I393" s="26" cm="1">
        <f t="array" ref="I393">INDEX(Таблица1[Количество заказов],MATCH(1,(Таблица1[Дата]=Лист1!A393)*(Таблица1[Территория]=Лист1!C393),0))</f>
        <v>2025</v>
      </c>
      <c r="J393" s="26" cm="1">
        <f t="array" ref="J393">INDEX(Таблица1[Количество клиентов],MATCH(1,(Таблица1[Дата]=Лист1!A393)*(Таблица1[Территория]=Лист1!C393),0))</f>
        <v>1849</v>
      </c>
    </row>
    <row r="394" spans="1:10" x14ac:dyDescent="0.3">
      <c r="A394" s="13">
        <v>43982</v>
      </c>
      <c r="B394" s="35">
        <f t="shared" si="6"/>
        <v>22</v>
      </c>
      <c r="C394" s="14" t="s">
        <v>18</v>
      </c>
      <c r="D394" s="25">
        <v>10416</v>
      </c>
      <c r="E394" s="28">
        <v>866023.5</v>
      </c>
      <c r="F394" s="28">
        <v>744833.00199999998</v>
      </c>
      <c r="G394" s="29">
        <v>19998.63846153846</v>
      </c>
      <c r="H394" s="25" cm="1">
        <f t="array" ref="H394">INDEX(Таблица1[Количество складов],MATCH(1,(Таблица1[Дата]=Лист1!A394)*(Таблица1[Территория]=Лист1!C394),0))</f>
        <v>7</v>
      </c>
      <c r="I394" s="25" cm="1">
        <f t="array" ref="I394">INDEX(Таблица1[Количество заказов],MATCH(1,(Таблица1[Дата]=Лист1!A394)*(Таблица1[Территория]=Лист1!C394),0))</f>
        <v>530</v>
      </c>
      <c r="J394" s="25" cm="1">
        <f t="array" ref="J394">INDEX(Таблица1[Количество клиентов],MATCH(1,(Таблица1[Дата]=Лист1!A394)*(Таблица1[Территория]=Лист1!C394),0))</f>
        <v>447</v>
      </c>
    </row>
    <row r="395" spans="1:10" x14ac:dyDescent="0.3">
      <c r="A395" s="15">
        <v>43980</v>
      </c>
      <c r="B395" s="36">
        <f t="shared" si="6"/>
        <v>22</v>
      </c>
      <c r="C395" s="16" t="s">
        <v>6</v>
      </c>
      <c r="D395" s="26">
        <v>35431.5</v>
      </c>
      <c r="E395" s="30">
        <v>3193167</v>
      </c>
      <c r="F395" s="30">
        <v>2545757.0549999997</v>
      </c>
      <c r="G395" s="31">
        <v>202281.06923076924</v>
      </c>
      <c r="H395" s="26" cm="1">
        <f t="array" ref="H395">INDEX(Таблица1[Количество складов],MATCH(1,(Таблица1[Дата]=Лист1!A395)*(Таблица1[Территория]=Лист1!C395),0))</f>
        <v>20</v>
      </c>
      <c r="I395" s="26" cm="1">
        <f t="array" ref="I395">INDEX(Таблица1[Количество заказов],MATCH(1,(Таблица1[Дата]=Лист1!A395)*(Таблица1[Территория]=Лист1!C395),0))</f>
        <v>2111</v>
      </c>
      <c r="J395" s="26" cm="1">
        <f t="array" ref="J395">INDEX(Таблица1[Количество клиентов],MATCH(1,(Таблица1[Дата]=Лист1!A395)*(Таблица1[Территория]=Лист1!C395),0))</f>
        <v>1917</v>
      </c>
    </row>
    <row r="396" spans="1:10" x14ac:dyDescent="0.3">
      <c r="A396" s="13">
        <v>43978</v>
      </c>
      <c r="B396" s="35">
        <f t="shared" si="6"/>
        <v>22</v>
      </c>
      <c r="C396" s="14" t="s">
        <v>4</v>
      </c>
      <c r="D396" s="25">
        <v>78544.5</v>
      </c>
      <c r="E396" s="28">
        <v>6701083.5</v>
      </c>
      <c r="F396" s="28">
        <v>5109499.6169999996</v>
      </c>
      <c r="G396" s="29">
        <v>76226.26923076922</v>
      </c>
      <c r="H396" s="25" cm="1">
        <f t="array" ref="H396">INDEX(Таблица1[Количество складов],MATCH(1,(Таблица1[Дата]=Лист1!A396)*(Таблица1[Территория]=Лист1!C396),0))</f>
        <v>31</v>
      </c>
      <c r="I396" s="25" cm="1">
        <f t="array" ref="I396">INDEX(Таблица1[Количество заказов],MATCH(1,(Таблица1[Дата]=Лист1!A396)*(Таблица1[Территория]=Лист1!C396),0))</f>
        <v>5330</v>
      </c>
      <c r="J396" s="25" cm="1">
        <f t="array" ref="J396">INDEX(Таблица1[Количество клиентов],MATCH(1,(Таблица1[Дата]=Лист1!A396)*(Таблица1[Территория]=Лист1!C396),0))</f>
        <v>4977</v>
      </c>
    </row>
    <row r="397" spans="1:10" x14ac:dyDescent="0.3">
      <c r="A397" s="15">
        <v>43973</v>
      </c>
      <c r="B397" s="36">
        <f t="shared" si="6"/>
        <v>21</v>
      </c>
      <c r="C397" s="16" t="s">
        <v>4</v>
      </c>
      <c r="D397" s="26">
        <v>97963.5</v>
      </c>
      <c r="E397" s="30">
        <v>7728465</v>
      </c>
      <c r="F397" s="30">
        <v>6415904.9240000006</v>
      </c>
      <c r="G397" s="31">
        <v>150138.82307692309</v>
      </c>
      <c r="H397" s="26" cm="1">
        <f t="array" ref="H397">INDEX(Таблица1[Количество складов],MATCH(1,(Таблица1[Дата]=Лист1!A397)*(Таблица1[Территория]=Лист1!C397),0))</f>
        <v>31</v>
      </c>
      <c r="I397" s="26" cm="1">
        <f t="array" ref="I397">INDEX(Таблица1[Количество заказов],MATCH(1,(Таблица1[Дата]=Лист1!A397)*(Таблица1[Территория]=Лист1!C397),0))</f>
        <v>5965</v>
      </c>
      <c r="J397" s="26" cm="1">
        <f t="array" ref="J397">INDEX(Таблица1[Количество клиентов],MATCH(1,(Таблица1[Дата]=Лист1!A397)*(Таблица1[Территория]=Лист1!C397),0))</f>
        <v>5533</v>
      </c>
    </row>
    <row r="398" spans="1:10" x14ac:dyDescent="0.3">
      <c r="A398" s="13">
        <v>43983</v>
      </c>
      <c r="B398" s="35">
        <f t="shared" si="6"/>
        <v>23</v>
      </c>
      <c r="C398" s="14" t="s">
        <v>4</v>
      </c>
      <c r="D398" s="25">
        <v>77269.5</v>
      </c>
      <c r="E398" s="28">
        <v>6829921.5</v>
      </c>
      <c r="F398" s="28">
        <v>5152925.182</v>
      </c>
      <c r="G398" s="29">
        <v>219200.11557692307</v>
      </c>
      <c r="H398" s="25" cm="1">
        <f t="array" ref="H398">INDEX(Таблица1[Количество складов],MATCH(1,(Таблица1[Дата]=Лист1!A398)*(Таблица1[Территория]=Лист1!C398),0))</f>
        <v>31</v>
      </c>
      <c r="I398" s="25" cm="1">
        <f t="array" ref="I398">INDEX(Таблица1[Количество заказов],MATCH(1,(Таблица1[Дата]=Лист1!A398)*(Таблица1[Территория]=Лист1!C398),0))</f>
        <v>5468</v>
      </c>
      <c r="J398" s="25" cm="1">
        <f t="array" ref="J398">INDEX(Таблица1[Количество клиентов],MATCH(1,(Таблица1[Дата]=Лист1!A398)*(Таблица1[Территория]=Лист1!C398),0))</f>
        <v>5081</v>
      </c>
    </row>
    <row r="399" spans="1:10" x14ac:dyDescent="0.3">
      <c r="A399" s="15">
        <v>43982</v>
      </c>
      <c r="B399" s="36">
        <f t="shared" si="6"/>
        <v>22</v>
      </c>
      <c r="C399" s="16" t="s">
        <v>11</v>
      </c>
      <c r="D399" s="26">
        <v>16143</v>
      </c>
      <c r="E399" s="30">
        <v>1423410</v>
      </c>
      <c r="F399" s="30">
        <v>1183524.9380000001</v>
      </c>
      <c r="G399" s="31">
        <v>41938.950392307692</v>
      </c>
      <c r="H399" s="26" cm="1">
        <f t="array" ref="H399">INDEX(Таблица1[Количество складов],MATCH(1,(Таблица1[Дата]=Лист1!A399)*(Таблица1[Территория]=Лист1!C399),0))</f>
        <v>18</v>
      </c>
      <c r="I399" s="26" cm="1">
        <f t="array" ref="I399">INDEX(Таблица1[Количество заказов],MATCH(1,(Таблица1[Дата]=Лист1!A399)*(Таблица1[Территория]=Лист1!C399),0))</f>
        <v>1029</v>
      </c>
      <c r="J399" s="26" cm="1">
        <f t="array" ref="J399">INDEX(Таблица1[Количество клиентов],MATCH(1,(Таблица1[Дата]=Лист1!A399)*(Таблица1[Территория]=Лист1!C399),0))</f>
        <v>925</v>
      </c>
    </row>
    <row r="400" spans="1:10" x14ac:dyDescent="0.3">
      <c r="A400" s="13">
        <v>43962</v>
      </c>
      <c r="B400" s="35">
        <f t="shared" si="6"/>
        <v>20</v>
      </c>
      <c r="C400" s="14" t="s">
        <v>4</v>
      </c>
      <c r="D400" s="25">
        <v>72220.5</v>
      </c>
      <c r="E400" s="28">
        <v>6398719.5</v>
      </c>
      <c r="F400" s="28">
        <v>4782829.6060000006</v>
      </c>
      <c r="G400" s="29">
        <v>186502.14615384614</v>
      </c>
      <c r="H400" s="25" cm="1">
        <f t="array" ref="H400">INDEX(Таблица1[Количество складов],MATCH(1,(Таблица1[Дата]=Лист1!A400)*(Таблица1[Территория]=Лист1!C400),0))</f>
        <v>31</v>
      </c>
      <c r="I400" s="25" cm="1">
        <f t="array" ref="I400">INDEX(Таблица1[Количество заказов],MATCH(1,(Таблица1[Дата]=Лист1!A400)*(Таблица1[Территория]=Лист1!C400),0))</f>
        <v>4826</v>
      </c>
      <c r="J400" s="25" cm="1">
        <f t="array" ref="J400">INDEX(Таблица1[Количество клиентов],MATCH(1,(Таблица1[Дата]=Лист1!A400)*(Таблица1[Территория]=Лист1!C400),0))</f>
        <v>4483</v>
      </c>
    </row>
    <row r="401" spans="1:10" x14ac:dyDescent="0.3">
      <c r="A401" s="15">
        <v>43969</v>
      </c>
      <c r="B401" s="36">
        <f t="shared" si="6"/>
        <v>21</v>
      </c>
      <c r="C401" s="16" t="s">
        <v>4</v>
      </c>
      <c r="D401" s="26">
        <v>78058.5</v>
      </c>
      <c r="E401" s="30">
        <v>6609714</v>
      </c>
      <c r="F401" s="30">
        <v>5024858.7929999996</v>
      </c>
      <c r="G401" s="31">
        <v>140406.07692307691</v>
      </c>
      <c r="H401" s="26" cm="1">
        <f t="array" ref="H401">INDEX(Таблица1[Количество складов],MATCH(1,(Таблица1[Дата]=Лист1!A401)*(Таблица1[Территория]=Лист1!C401),0))</f>
        <v>31</v>
      </c>
      <c r="I401" s="26" cm="1">
        <f t="array" ref="I401">INDEX(Таблица1[Количество заказов],MATCH(1,(Таблица1[Дата]=Лист1!A401)*(Таблица1[Территория]=Лист1!C401),0))</f>
        <v>5165</v>
      </c>
      <c r="J401" s="26" cm="1">
        <f t="array" ref="J401">INDEX(Таблица1[Количество клиентов],MATCH(1,(Таблица1[Дата]=Лист1!A401)*(Таблица1[Территория]=Лист1!C401),0))</f>
        <v>4813</v>
      </c>
    </row>
    <row r="402" spans="1:10" x14ac:dyDescent="0.3">
      <c r="A402" s="13">
        <v>43965</v>
      </c>
      <c r="B402" s="35">
        <f t="shared" si="6"/>
        <v>20</v>
      </c>
      <c r="C402" s="14" t="s">
        <v>4</v>
      </c>
      <c r="D402" s="25">
        <v>70498.5</v>
      </c>
      <c r="E402" s="28">
        <v>6053649</v>
      </c>
      <c r="F402" s="28">
        <v>4580254.1549999993</v>
      </c>
      <c r="G402" s="29">
        <v>131801.93944615382</v>
      </c>
      <c r="H402" s="25" cm="1">
        <f t="array" ref="H402">INDEX(Таблица1[Количество складов],MATCH(1,(Таблица1[Дата]=Лист1!A402)*(Таблица1[Территория]=Лист1!C402),0))</f>
        <v>31</v>
      </c>
      <c r="I402" s="25" cm="1">
        <f t="array" ref="I402">INDEX(Таблица1[Количество заказов],MATCH(1,(Таблица1[Дата]=Лист1!A402)*(Таблица1[Территория]=Лист1!C402),0))</f>
        <v>4695</v>
      </c>
      <c r="J402" s="25" cm="1">
        <f t="array" ref="J402">INDEX(Таблица1[Количество клиентов],MATCH(1,(Таблица1[Дата]=Лист1!A402)*(Таблица1[Территория]=Лист1!C402),0))</f>
        <v>4372</v>
      </c>
    </row>
    <row r="403" spans="1:10" x14ac:dyDescent="0.3">
      <c r="A403" s="15">
        <v>43966</v>
      </c>
      <c r="B403" s="36">
        <f t="shared" si="6"/>
        <v>20</v>
      </c>
      <c r="C403" s="16" t="s">
        <v>4</v>
      </c>
      <c r="D403" s="26">
        <v>78961.5</v>
      </c>
      <c r="E403" s="30">
        <v>6876454.5</v>
      </c>
      <c r="F403" s="30">
        <v>5258162.2879999997</v>
      </c>
      <c r="G403" s="31">
        <v>162133.18461538461</v>
      </c>
      <c r="H403" s="26" cm="1">
        <f t="array" ref="H403">INDEX(Таблица1[Количество складов],MATCH(1,(Таблица1[Дата]=Лист1!A403)*(Таблица1[Территория]=Лист1!C403),0))</f>
        <v>31</v>
      </c>
      <c r="I403" s="26" cm="1">
        <f t="array" ref="I403">INDEX(Таблица1[Количество заказов],MATCH(1,(Таблица1[Дата]=Лист1!A403)*(Таблица1[Территория]=Лист1!C403),0))</f>
        <v>5184</v>
      </c>
      <c r="J403" s="26" cm="1">
        <f t="array" ref="J403">INDEX(Таблица1[Количество клиентов],MATCH(1,(Таблица1[Дата]=Лист1!A403)*(Таблица1[Территория]=Лист1!C403),0))</f>
        <v>4778</v>
      </c>
    </row>
    <row r="404" spans="1:10" x14ac:dyDescent="0.3">
      <c r="A404" s="13">
        <v>43978</v>
      </c>
      <c r="B404" s="35">
        <f t="shared" si="6"/>
        <v>22</v>
      </c>
      <c r="C404" s="14" t="s">
        <v>19</v>
      </c>
      <c r="D404" s="25">
        <v>12490.5</v>
      </c>
      <c r="E404" s="28">
        <v>1054798.5</v>
      </c>
      <c r="F404" s="28">
        <v>878389.06499999994</v>
      </c>
      <c r="G404" s="29">
        <v>67454.765369230765</v>
      </c>
      <c r="H404" s="25" cm="1">
        <f t="array" ref="H404">INDEX(Таблица1[Количество складов],MATCH(1,(Таблица1[Дата]=Лист1!A404)*(Таблица1[Территория]=Лист1!C404),0))</f>
        <v>10</v>
      </c>
      <c r="I404" s="25" cm="1">
        <f t="array" ref="I404">INDEX(Таблица1[Количество заказов],MATCH(1,(Таблица1[Дата]=Лист1!A404)*(Таблица1[Территория]=Лист1!C404),0))</f>
        <v>757</v>
      </c>
      <c r="J404" s="25" cm="1">
        <f t="array" ref="J404">INDEX(Таблица1[Количество клиентов],MATCH(1,(Таблица1[Дата]=Лист1!A404)*(Таблица1[Территория]=Лист1!C404),0))</f>
        <v>660</v>
      </c>
    </row>
    <row r="405" spans="1:10" x14ac:dyDescent="0.3">
      <c r="A405" s="15">
        <v>43973</v>
      </c>
      <c r="B405" s="36">
        <f t="shared" si="6"/>
        <v>21</v>
      </c>
      <c r="C405" s="16" t="s">
        <v>19</v>
      </c>
      <c r="D405" s="26">
        <v>18036</v>
      </c>
      <c r="E405" s="30">
        <v>1455049.5</v>
      </c>
      <c r="F405" s="30">
        <v>1301439.284</v>
      </c>
      <c r="G405" s="31">
        <v>69189.123076923075</v>
      </c>
      <c r="H405" s="26" cm="1">
        <f t="array" ref="H405">INDEX(Таблица1[Количество складов],MATCH(1,(Таблица1[Дата]=Лист1!A405)*(Таблица1[Территория]=Лист1!C405),0))</f>
        <v>10</v>
      </c>
      <c r="I405" s="26" cm="1">
        <f t="array" ref="I405">INDEX(Таблица1[Количество заказов],MATCH(1,(Таблица1[Дата]=Лист1!A405)*(Таблица1[Территория]=Лист1!C405),0))</f>
        <v>965</v>
      </c>
      <c r="J405" s="26" cm="1">
        <f t="array" ref="J405">INDEX(Таблица1[Количество клиентов],MATCH(1,(Таблица1[Дата]=Лист1!A405)*(Таблица1[Территория]=Лист1!C405),0))</f>
        <v>861</v>
      </c>
    </row>
    <row r="406" spans="1:10" x14ac:dyDescent="0.3">
      <c r="A406" s="13">
        <v>43983</v>
      </c>
      <c r="B406" s="35">
        <f t="shared" si="6"/>
        <v>23</v>
      </c>
      <c r="C406" s="14" t="s">
        <v>19</v>
      </c>
      <c r="D406" s="25">
        <v>11416.5</v>
      </c>
      <c r="E406" s="28">
        <v>1007742</v>
      </c>
      <c r="F406" s="28">
        <v>815296.88</v>
      </c>
      <c r="G406" s="29">
        <v>145147.84546153847</v>
      </c>
      <c r="H406" s="25" cm="1">
        <f t="array" ref="H406">INDEX(Таблица1[Количество складов],MATCH(1,(Таблица1[Дата]=Лист1!A406)*(Таблица1[Территория]=Лист1!C406),0))</f>
        <v>10</v>
      </c>
      <c r="I406" s="25" cm="1">
        <f t="array" ref="I406">INDEX(Таблица1[Количество заказов],MATCH(1,(Таблица1[Дата]=Лист1!A406)*(Таблица1[Территория]=Лист1!C406),0))</f>
        <v>719</v>
      </c>
      <c r="J406" s="25" cm="1">
        <f t="array" ref="J406">INDEX(Таблица1[Количество клиентов],MATCH(1,(Таблица1[Дата]=Лист1!A406)*(Таблица1[Территория]=Лист1!C406),0))</f>
        <v>627</v>
      </c>
    </row>
    <row r="407" spans="1:10" x14ac:dyDescent="0.3">
      <c r="A407" s="15">
        <v>43962</v>
      </c>
      <c r="B407" s="36">
        <f t="shared" si="6"/>
        <v>20</v>
      </c>
      <c r="C407" s="16" t="s">
        <v>19</v>
      </c>
      <c r="D407" s="26">
        <v>9007.5</v>
      </c>
      <c r="E407" s="30">
        <v>734335.5</v>
      </c>
      <c r="F407" s="30">
        <v>622482.40399999998</v>
      </c>
      <c r="G407" s="31">
        <v>113093.66153846154</v>
      </c>
      <c r="H407" s="26" cm="1">
        <f t="array" ref="H407">INDEX(Таблица1[Количество складов],MATCH(1,(Таблица1[Дата]=Лист1!A407)*(Таблица1[Территория]=Лист1!C407),0))</f>
        <v>10</v>
      </c>
      <c r="I407" s="26" cm="1">
        <f t="array" ref="I407">INDEX(Таблица1[Количество заказов],MATCH(1,(Таблица1[Дата]=Лист1!A407)*(Таблица1[Территория]=Лист1!C407),0))</f>
        <v>494</v>
      </c>
      <c r="J407" s="26" cm="1">
        <f t="array" ref="J407">INDEX(Таблица1[Количество клиентов],MATCH(1,(Таблица1[Дата]=Лист1!A407)*(Таблица1[Территория]=Лист1!C407),0))</f>
        <v>421</v>
      </c>
    </row>
    <row r="408" spans="1:10" x14ac:dyDescent="0.3">
      <c r="A408" s="13">
        <v>43980</v>
      </c>
      <c r="B408" s="35">
        <f t="shared" si="6"/>
        <v>22</v>
      </c>
      <c r="C408" s="14" t="s">
        <v>4</v>
      </c>
      <c r="D408" s="25">
        <v>87552</v>
      </c>
      <c r="E408" s="28">
        <v>7387116</v>
      </c>
      <c r="F408" s="28">
        <v>5815890.3319999995</v>
      </c>
      <c r="G408" s="29">
        <v>161811.89230769229</v>
      </c>
      <c r="H408" s="25" cm="1">
        <f t="array" ref="H408">INDEX(Таблица1[Количество складов],MATCH(1,(Таблица1[Дата]=Лист1!A408)*(Таблица1[Территория]=Лист1!C408),0))</f>
        <v>31</v>
      </c>
      <c r="I408" s="25" cm="1">
        <f t="array" ref="I408">INDEX(Таблица1[Количество заказов],MATCH(1,(Таблица1[Дата]=Лист1!A408)*(Таблица1[Территория]=Лист1!C408),0))</f>
        <v>5751</v>
      </c>
      <c r="J408" s="25" cm="1">
        <f t="array" ref="J408">INDEX(Таблица1[Количество клиентов],MATCH(1,(Таблица1[Дата]=Лист1!A408)*(Таблица1[Территория]=Лист1!C408),0))</f>
        <v>5319</v>
      </c>
    </row>
    <row r="409" spans="1:10" x14ac:dyDescent="0.3">
      <c r="A409" s="15">
        <v>43969</v>
      </c>
      <c r="B409" s="36">
        <f t="shared" si="6"/>
        <v>21</v>
      </c>
      <c r="C409" s="16" t="s">
        <v>19</v>
      </c>
      <c r="D409" s="26">
        <v>11680.5</v>
      </c>
      <c r="E409" s="30">
        <v>936427.5</v>
      </c>
      <c r="F409" s="30">
        <v>813406.68400000001</v>
      </c>
      <c r="G409" s="31">
        <v>117272.7846153846</v>
      </c>
      <c r="H409" s="26" cm="1">
        <f t="array" ref="H409">INDEX(Таблица1[Количество складов],MATCH(1,(Таблица1[Дата]=Лист1!A409)*(Таблица1[Территория]=Лист1!C409),0))</f>
        <v>10</v>
      </c>
      <c r="I409" s="26" cm="1">
        <f t="array" ref="I409">INDEX(Таблица1[Количество заказов],MATCH(1,(Таблица1[Дата]=Лист1!A409)*(Таблица1[Территория]=Лист1!C409),0))</f>
        <v>645</v>
      </c>
      <c r="J409" s="26" cm="1">
        <f t="array" ref="J409">INDEX(Таблица1[Количество клиентов],MATCH(1,(Таблица1[Дата]=Лист1!A409)*(Таблица1[Территория]=Лист1!C409),0))</f>
        <v>565</v>
      </c>
    </row>
    <row r="410" spans="1:10" x14ac:dyDescent="0.3">
      <c r="A410" s="13">
        <v>43965</v>
      </c>
      <c r="B410" s="35">
        <f t="shared" si="6"/>
        <v>20</v>
      </c>
      <c r="C410" s="14" t="s">
        <v>19</v>
      </c>
      <c r="D410" s="25">
        <v>12037.5</v>
      </c>
      <c r="E410" s="28">
        <v>981564</v>
      </c>
      <c r="F410" s="28">
        <v>877726.201</v>
      </c>
      <c r="G410" s="29">
        <v>69249.011815384612</v>
      </c>
      <c r="H410" s="25" cm="1">
        <f t="array" ref="H410">INDEX(Таблица1[Количество складов],MATCH(1,(Таблица1[Дата]=Лист1!A410)*(Таблица1[Территория]=Лист1!C410),0))</f>
        <v>10</v>
      </c>
      <c r="I410" s="25" cm="1">
        <f t="array" ref="I410">INDEX(Таблица1[Количество заказов],MATCH(1,(Таблица1[Дата]=Лист1!A410)*(Таблица1[Территория]=Лист1!C410),0))</f>
        <v>627</v>
      </c>
      <c r="J410" s="25" cm="1">
        <f t="array" ref="J410">INDEX(Таблица1[Количество клиентов],MATCH(1,(Таблица1[Дата]=Лист1!A410)*(Таблица1[Территория]=Лист1!C410),0))</f>
        <v>545</v>
      </c>
    </row>
    <row r="411" spans="1:10" x14ac:dyDescent="0.3">
      <c r="A411" s="15">
        <v>43966</v>
      </c>
      <c r="B411" s="36">
        <f t="shared" si="6"/>
        <v>20</v>
      </c>
      <c r="C411" s="16" t="s">
        <v>19</v>
      </c>
      <c r="D411" s="26">
        <v>14421</v>
      </c>
      <c r="E411" s="30">
        <v>1150579.5</v>
      </c>
      <c r="F411" s="30">
        <v>1038033.7869999999</v>
      </c>
      <c r="G411" s="31">
        <v>68487.358569230768</v>
      </c>
      <c r="H411" s="26" cm="1">
        <f t="array" ref="H411">INDEX(Таблица1[Количество складов],MATCH(1,(Таблица1[Дата]=Лист1!A411)*(Таблица1[Территория]=Лист1!C411),0))</f>
        <v>10</v>
      </c>
      <c r="I411" s="26" cm="1">
        <f t="array" ref="I411">INDEX(Таблица1[Количество заказов],MATCH(1,(Таблица1[Дата]=Лист1!A411)*(Таблица1[Территория]=Лист1!C411),0))</f>
        <v>743</v>
      </c>
      <c r="J411" s="26" cm="1">
        <f t="array" ref="J411">INDEX(Таблица1[Количество клиентов],MATCH(1,(Таблица1[Дата]=Лист1!A411)*(Таблица1[Территория]=Лист1!C411),0))</f>
        <v>652</v>
      </c>
    </row>
    <row r="412" spans="1:10" x14ac:dyDescent="0.3">
      <c r="A412" s="13">
        <v>43980</v>
      </c>
      <c r="B412" s="35">
        <f t="shared" si="6"/>
        <v>22</v>
      </c>
      <c r="C412" s="14" t="s">
        <v>19</v>
      </c>
      <c r="D412" s="25">
        <v>14823</v>
      </c>
      <c r="E412" s="28">
        <v>1273464</v>
      </c>
      <c r="F412" s="28">
        <v>1068326.9369999999</v>
      </c>
      <c r="G412" s="29">
        <v>76299.023384615386</v>
      </c>
      <c r="H412" s="25" cm="1">
        <f t="array" ref="H412">INDEX(Таблица1[Количество складов],MATCH(1,(Таблица1[Дата]=Лист1!A412)*(Таблица1[Территория]=Лист1!C412),0))</f>
        <v>10</v>
      </c>
      <c r="I412" s="25" cm="1">
        <f t="array" ref="I412">INDEX(Таблица1[Количество заказов],MATCH(1,(Таблица1[Дата]=Лист1!A412)*(Таблица1[Территория]=Лист1!C412),0))</f>
        <v>873</v>
      </c>
      <c r="J412" s="25" cm="1">
        <f t="array" ref="J412">INDEX(Таблица1[Количество клиентов],MATCH(1,(Таблица1[Дата]=Лист1!A412)*(Таблица1[Территория]=Лист1!C412),0))</f>
        <v>770</v>
      </c>
    </row>
    <row r="413" spans="1:10" x14ac:dyDescent="0.3">
      <c r="A413" s="15">
        <v>43978</v>
      </c>
      <c r="B413" s="36">
        <f t="shared" si="6"/>
        <v>22</v>
      </c>
      <c r="C413" s="16" t="s">
        <v>10</v>
      </c>
      <c r="D413" s="26">
        <v>31257</v>
      </c>
      <c r="E413" s="30">
        <v>2924133</v>
      </c>
      <c r="F413" s="30">
        <v>2311405.017</v>
      </c>
      <c r="G413" s="31">
        <v>148582.33846153846</v>
      </c>
      <c r="H413" s="26" cm="1">
        <f t="array" ref="H413">INDEX(Таблица1[Количество складов],MATCH(1,(Таблица1[Дата]=Лист1!A413)*(Таблица1[Территория]=Лист1!C413),0))</f>
        <v>20</v>
      </c>
      <c r="I413" s="26" cm="1">
        <f t="array" ref="I413">INDEX(Таблица1[Количество заказов],MATCH(1,(Таблица1[Дата]=Лист1!A413)*(Таблица1[Территория]=Лист1!C413),0))</f>
        <v>2079</v>
      </c>
      <c r="J413" s="26" cm="1">
        <f t="array" ref="J413">INDEX(Таблица1[Количество клиентов],MATCH(1,(Таблица1[Дата]=Лист1!A413)*(Таблица1[Территория]=Лист1!C413),0))</f>
        <v>1856</v>
      </c>
    </row>
    <row r="414" spans="1:10" x14ac:dyDescent="0.3">
      <c r="A414" s="13">
        <v>43973</v>
      </c>
      <c r="B414" s="35">
        <f t="shared" si="6"/>
        <v>21</v>
      </c>
      <c r="C414" s="14" t="s">
        <v>10</v>
      </c>
      <c r="D414" s="25">
        <v>38074.5</v>
      </c>
      <c r="E414" s="28">
        <v>3414180</v>
      </c>
      <c r="F414" s="28">
        <v>2805831.5209999997</v>
      </c>
      <c r="G414" s="29">
        <v>124540.74078461538</v>
      </c>
      <c r="H414" s="25" cm="1">
        <f t="array" ref="H414">INDEX(Таблица1[Количество складов],MATCH(1,(Таблица1[Дата]=Лист1!A414)*(Таблица1[Территория]=Лист1!C414),0))</f>
        <v>20</v>
      </c>
      <c r="I414" s="25" cm="1">
        <f t="array" ref="I414">INDEX(Таблица1[Количество заказов],MATCH(1,(Таблица1[Дата]=Лист1!A414)*(Таблица1[Территория]=Лист1!C414),0))</f>
        <v>2306</v>
      </c>
      <c r="J414" s="25" cm="1">
        <f t="array" ref="J414">INDEX(Таблица1[Количество клиентов],MATCH(1,(Таблица1[Дата]=Лист1!A414)*(Таблица1[Территория]=Лист1!C414),0))</f>
        <v>2054</v>
      </c>
    </row>
    <row r="415" spans="1:10" x14ac:dyDescent="0.3">
      <c r="A415" s="15">
        <v>43983</v>
      </c>
      <c r="B415" s="36">
        <f t="shared" si="6"/>
        <v>23</v>
      </c>
      <c r="C415" s="16" t="s">
        <v>10</v>
      </c>
      <c r="D415" s="26">
        <v>32170.5</v>
      </c>
      <c r="E415" s="30">
        <v>3013512</v>
      </c>
      <c r="F415" s="30">
        <v>2355616.679</v>
      </c>
      <c r="G415" s="31">
        <v>219429.2774153846</v>
      </c>
      <c r="H415" s="26" cm="1">
        <f t="array" ref="H415">INDEX(Таблица1[Количество складов],MATCH(1,(Таблица1[Дата]=Лист1!A415)*(Таблица1[Территория]=Лист1!C415),0))</f>
        <v>20</v>
      </c>
      <c r="I415" s="26" cm="1">
        <f t="array" ref="I415">INDEX(Таблица1[Количество заказов],MATCH(1,(Таблица1[Дата]=Лист1!A415)*(Таблица1[Территория]=Лист1!C415),0))</f>
        <v>2136</v>
      </c>
      <c r="J415" s="26" cm="1">
        <f t="array" ref="J415">INDEX(Таблица1[Количество клиентов],MATCH(1,(Таблица1[Дата]=Лист1!A415)*(Таблица1[Территория]=Лист1!C415),0))</f>
        <v>1899</v>
      </c>
    </row>
    <row r="416" spans="1:10" x14ac:dyDescent="0.3">
      <c r="A416" s="13">
        <v>43962</v>
      </c>
      <c r="B416" s="35">
        <f t="shared" si="6"/>
        <v>20</v>
      </c>
      <c r="C416" s="14" t="s">
        <v>10</v>
      </c>
      <c r="D416" s="25">
        <v>42397.5</v>
      </c>
      <c r="E416" s="28">
        <v>3911979</v>
      </c>
      <c r="F416" s="28">
        <v>3086459.8370000003</v>
      </c>
      <c r="G416" s="29">
        <v>164514.63076923075</v>
      </c>
      <c r="H416" s="25" cm="1">
        <f t="array" ref="H416">INDEX(Таблица1[Количество складов],MATCH(1,(Таблица1[Дата]=Лист1!A416)*(Таблица1[Территория]=Лист1!C416),0))</f>
        <v>19</v>
      </c>
      <c r="I416" s="25" cm="1">
        <f t="array" ref="I416">INDEX(Таблица1[Количество заказов],MATCH(1,(Таблица1[Дата]=Лист1!A416)*(Таблица1[Территория]=Лист1!C416),0))</f>
        <v>2530</v>
      </c>
      <c r="J416" s="25" cm="1">
        <f t="array" ref="J416">INDEX(Таблица1[Количество клиентов],MATCH(1,(Таблица1[Дата]=Лист1!A416)*(Таблица1[Территория]=Лист1!C416),0))</f>
        <v>2270</v>
      </c>
    </row>
    <row r="417" spans="1:10" x14ac:dyDescent="0.3">
      <c r="A417" s="15">
        <v>43969</v>
      </c>
      <c r="B417" s="36">
        <f t="shared" si="6"/>
        <v>21</v>
      </c>
      <c r="C417" s="16" t="s">
        <v>10</v>
      </c>
      <c r="D417" s="26">
        <v>28668</v>
      </c>
      <c r="E417" s="30">
        <v>2588148</v>
      </c>
      <c r="F417" s="30">
        <v>2042294.1669999999</v>
      </c>
      <c r="G417" s="31">
        <v>160977.42935384615</v>
      </c>
      <c r="H417" s="26" cm="1">
        <f t="array" ref="H417">INDEX(Таблица1[Количество складов],MATCH(1,(Таблица1[Дата]=Лист1!A417)*(Таблица1[Территория]=Лист1!C417),0))</f>
        <v>19</v>
      </c>
      <c r="I417" s="26" cm="1">
        <f t="array" ref="I417">INDEX(Таблица1[Количество заказов],MATCH(1,(Таблица1[Дата]=Лист1!A417)*(Таблица1[Территория]=Лист1!C417),0))</f>
        <v>1858</v>
      </c>
      <c r="J417" s="26" cm="1">
        <f t="array" ref="J417">INDEX(Таблица1[Количество клиентов],MATCH(1,(Таблица1[Дата]=Лист1!A417)*(Таблица1[Территория]=Лист1!C417),0))</f>
        <v>1648</v>
      </c>
    </row>
    <row r="418" spans="1:10" x14ac:dyDescent="0.3">
      <c r="A418" s="13">
        <v>43965</v>
      </c>
      <c r="B418" s="35">
        <f t="shared" si="6"/>
        <v>20</v>
      </c>
      <c r="C418" s="14" t="s">
        <v>10</v>
      </c>
      <c r="D418" s="25">
        <v>27411</v>
      </c>
      <c r="E418" s="28">
        <v>2441520</v>
      </c>
      <c r="F418" s="28">
        <v>1933378.3459999997</v>
      </c>
      <c r="G418" s="29">
        <v>141658.27661538462</v>
      </c>
      <c r="H418" s="25" cm="1">
        <f t="array" ref="H418">INDEX(Таблица1[Количество складов],MATCH(1,(Таблица1[Дата]=Лист1!A418)*(Таблица1[Территория]=Лист1!C418),0))</f>
        <v>19</v>
      </c>
      <c r="I418" s="25" cm="1">
        <f t="array" ref="I418">INDEX(Таблица1[Количество заказов],MATCH(1,(Таблица1[Дата]=Лист1!A418)*(Таблица1[Территория]=Лист1!C418),0))</f>
        <v>1675</v>
      </c>
      <c r="J418" s="25" cm="1">
        <f t="array" ref="J418">INDEX(Таблица1[Количество клиентов],MATCH(1,(Таблица1[Дата]=Лист1!A418)*(Таблица1[Территория]=Лист1!C418),0))</f>
        <v>1475</v>
      </c>
    </row>
    <row r="419" spans="1:10" x14ac:dyDescent="0.3">
      <c r="A419" s="15">
        <v>43966</v>
      </c>
      <c r="B419" s="36">
        <f t="shared" si="6"/>
        <v>20</v>
      </c>
      <c r="C419" s="16" t="s">
        <v>10</v>
      </c>
      <c r="D419" s="26">
        <v>32854.5</v>
      </c>
      <c r="E419" s="30">
        <v>2949078</v>
      </c>
      <c r="F419" s="30">
        <v>2391958.463</v>
      </c>
      <c r="G419" s="31">
        <v>129383.86666153846</v>
      </c>
      <c r="H419" s="26" cm="1">
        <f t="array" ref="H419">INDEX(Таблица1[Количество складов],MATCH(1,(Таблица1[Дата]=Лист1!A419)*(Таблица1[Территория]=Лист1!C419),0))</f>
        <v>19</v>
      </c>
      <c r="I419" s="26" cm="1">
        <f t="array" ref="I419">INDEX(Таблица1[Количество заказов],MATCH(1,(Таблица1[Дата]=Лист1!A419)*(Таблица1[Территория]=Лист1!C419),0))</f>
        <v>1940</v>
      </c>
      <c r="J419" s="26" cm="1">
        <f t="array" ref="J419">INDEX(Таблица1[Количество клиентов],MATCH(1,(Таблица1[Дата]=Лист1!A419)*(Таблица1[Территория]=Лист1!C419),0))</f>
        <v>1715</v>
      </c>
    </row>
    <row r="420" spans="1:10" x14ac:dyDescent="0.3">
      <c r="A420" s="13">
        <v>43980</v>
      </c>
      <c r="B420" s="35">
        <f t="shared" si="6"/>
        <v>22</v>
      </c>
      <c r="C420" s="14" t="s">
        <v>10</v>
      </c>
      <c r="D420" s="25">
        <v>35346</v>
      </c>
      <c r="E420" s="28">
        <v>3258054</v>
      </c>
      <c r="F420" s="28">
        <v>2595610.66</v>
      </c>
      <c r="G420" s="29">
        <v>195198.78461538462</v>
      </c>
      <c r="H420" s="25" cm="1">
        <f t="array" ref="H420">INDEX(Таблица1[Количество складов],MATCH(1,(Таблица1[Дата]=Лист1!A420)*(Таблица1[Территория]=Лист1!C420),0))</f>
        <v>20</v>
      </c>
      <c r="I420" s="25" cm="1">
        <f t="array" ref="I420">INDEX(Таблица1[Количество заказов],MATCH(1,(Таблица1[Дата]=Лист1!A420)*(Таблица1[Территория]=Лист1!C420),0))</f>
        <v>2249</v>
      </c>
      <c r="J420" s="25" cm="1">
        <f t="array" ref="J420">INDEX(Таблица1[Количество клиентов],MATCH(1,(Таблица1[Дата]=Лист1!A420)*(Таблица1[Территория]=Лист1!C420),0))</f>
        <v>2000</v>
      </c>
    </row>
    <row r="421" spans="1:10" x14ac:dyDescent="0.3">
      <c r="A421" s="15">
        <v>43978</v>
      </c>
      <c r="B421" s="36">
        <f t="shared" si="6"/>
        <v>22</v>
      </c>
      <c r="C421" s="16" t="s">
        <v>16</v>
      </c>
      <c r="D421" s="26">
        <v>286558.5</v>
      </c>
      <c r="E421" s="30">
        <v>29256993</v>
      </c>
      <c r="F421" s="30">
        <v>21169527.457000002</v>
      </c>
      <c r="G421" s="31">
        <v>646741.28130000003</v>
      </c>
      <c r="H421" s="26" cm="1">
        <f t="array" ref="H421">INDEX(Таблица1[Количество складов],MATCH(1,(Таблица1[Дата]=Лист1!A421)*(Таблица1[Территория]=Лист1!C421),0))</f>
        <v>129</v>
      </c>
      <c r="I421" s="26" cm="1">
        <f t="array" ref="I421">INDEX(Таблица1[Количество заказов],MATCH(1,(Таблица1[Дата]=Лист1!A421)*(Таблица1[Территория]=Лист1!C421),0))</f>
        <v>17115</v>
      </c>
      <c r="J421" s="26" cm="1">
        <f t="array" ref="J421">INDEX(Таблица1[Количество клиентов],MATCH(1,(Таблица1[Дата]=Лист1!A421)*(Таблица1[Территория]=Лист1!C421),0))</f>
        <v>15962</v>
      </c>
    </row>
    <row r="422" spans="1:10" x14ac:dyDescent="0.3">
      <c r="A422" s="13">
        <v>43973</v>
      </c>
      <c r="B422" s="35">
        <f t="shared" si="6"/>
        <v>21</v>
      </c>
      <c r="C422" s="14" t="s">
        <v>16</v>
      </c>
      <c r="D422" s="25">
        <v>304092</v>
      </c>
      <c r="E422" s="28">
        <v>29465769</v>
      </c>
      <c r="F422" s="28">
        <v>22276452.264999997</v>
      </c>
      <c r="G422" s="29">
        <v>570447.6369538462</v>
      </c>
      <c r="H422" s="25" cm="1">
        <f t="array" ref="H422">INDEX(Таблица1[Количество складов],MATCH(1,(Таблица1[Дата]=Лист1!A422)*(Таблица1[Территория]=Лист1!C422),0))</f>
        <v>129</v>
      </c>
      <c r="I422" s="25" cm="1">
        <f t="array" ref="I422">INDEX(Таблица1[Количество заказов],MATCH(1,(Таблица1[Дата]=Лист1!A422)*(Таблица1[Территория]=Лист1!C422),0))</f>
        <v>17088</v>
      </c>
      <c r="J422" s="25" cm="1">
        <f t="array" ref="J422">INDEX(Таблица1[Количество клиентов],MATCH(1,(Таблица1[Дата]=Лист1!A422)*(Таблица1[Территория]=Лист1!C422),0))</f>
        <v>15804</v>
      </c>
    </row>
    <row r="423" spans="1:10" x14ac:dyDescent="0.3">
      <c r="A423" s="15">
        <v>43983</v>
      </c>
      <c r="B423" s="36">
        <f t="shared" si="6"/>
        <v>23</v>
      </c>
      <c r="C423" s="16" t="s">
        <v>16</v>
      </c>
      <c r="D423" s="26">
        <v>272926.5</v>
      </c>
      <c r="E423" s="30">
        <v>27770092.5</v>
      </c>
      <c r="F423" s="30">
        <v>20952913.508000001</v>
      </c>
      <c r="G423" s="31">
        <v>872904.40428461542</v>
      </c>
      <c r="H423" s="26" cm="1">
        <f t="array" ref="H423">INDEX(Таблица1[Количество складов],MATCH(1,(Таблица1[Дата]=Лист1!A423)*(Таблица1[Территория]=Лист1!C423),0))</f>
        <v>128</v>
      </c>
      <c r="I423" s="26" cm="1">
        <f t="array" ref="I423">INDEX(Таблица1[Количество заказов],MATCH(1,(Таблица1[Дата]=Лист1!A423)*(Таблица1[Территория]=Лист1!C423),0))</f>
        <v>16285</v>
      </c>
      <c r="J423" s="26" cm="1">
        <f t="array" ref="J423">INDEX(Таблица1[Количество клиентов],MATCH(1,(Таблица1[Дата]=Лист1!A423)*(Таблица1[Территория]=Лист1!C423),0))</f>
        <v>15130</v>
      </c>
    </row>
    <row r="424" spans="1:10" x14ac:dyDescent="0.3">
      <c r="A424" s="13">
        <v>43962</v>
      </c>
      <c r="B424" s="35">
        <f t="shared" si="6"/>
        <v>20</v>
      </c>
      <c r="C424" s="14" t="s">
        <v>16</v>
      </c>
      <c r="D424" s="25">
        <v>237099</v>
      </c>
      <c r="E424" s="28">
        <v>24628233.223949999</v>
      </c>
      <c r="F424" s="28">
        <v>17679930.469999999</v>
      </c>
      <c r="G424" s="29">
        <v>622499.33031538466</v>
      </c>
      <c r="H424" s="25" cm="1">
        <f t="array" ref="H424">INDEX(Таблица1[Количество складов],MATCH(1,(Таблица1[Дата]=Лист1!A424)*(Таблица1[Территория]=Лист1!C424),0))</f>
        <v>129</v>
      </c>
      <c r="I424" s="25" cm="1">
        <f t="array" ref="I424">INDEX(Таблица1[Количество заказов],MATCH(1,(Таблица1[Дата]=Лист1!A424)*(Таблица1[Территория]=Лист1!C424),0))</f>
        <v>14043</v>
      </c>
      <c r="J424" s="25" cm="1">
        <f t="array" ref="J424">INDEX(Таблица1[Количество клиентов],MATCH(1,(Таблица1[Дата]=Лист1!A424)*(Таблица1[Территория]=Лист1!C424),0))</f>
        <v>13167</v>
      </c>
    </row>
    <row r="425" spans="1:10" x14ac:dyDescent="0.3">
      <c r="A425" s="15">
        <v>43969</v>
      </c>
      <c r="B425" s="36">
        <f t="shared" si="6"/>
        <v>21</v>
      </c>
      <c r="C425" s="16" t="s">
        <v>16</v>
      </c>
      <c r="D425" s="26">
        <v>273900</v>
      </c>
      <c r="E425" s="30">
        <v>27535284.147600003</v>
      </c>
      <c r="F425" s="30">
        <v>19680985.969000001</v>
      </c>
      <c r="G425" s="31">
        <v>764540.58792307694</v>
      </c>
      <c r="H425" s="26" cm="1">
        <f t="array" ref="H425">INDEX(Таблица1[Количество складов],MATCH(1,(Таблица1[Дата]=Лист1!A425)*(Таблица1[Территория]=Лист1!C425),0))</f>
        <v>129</v>
      </c>
      <c r="I425" s="26" cm="1">
        <f t="array" ref="I425">INDEX(Таблица1[Количество заказов],MATCH(1,(Таблица1[Дата]=Лист1!A425)*(Таблица1[Территория]=Лист1!C425),0))</f>
        <v>16110</v>
      </c>
      <c r="J425" s="26" cm="1">
        <f t="array" ref="J425">INDEX(Таблица1[Количество клиентов],MATCH(1,(Таблица1[Дата]=Лист1!A425)*(Таблица1[Территория]=Лист1!C425),0))</f>
        <v>14992</v>
      </c>
    </row>
    <row r="426" spans="1:10" x14ac:dyDescent="0.3">
      <c r="A426" s="13">
        <v>43965</v>
      </c>
      <c r="B426" s="35">
        <f t="shared" si="6"/>
        <v>20</v>
      </c>
      <c r="C426" s="14" t="s">
        <v>16</v>
      </c>
      <c r="D426" s="25">
        <v>274059</v>
      </c>
      <c r="E426" s="28">
        <v>28181292</v>
      </c>
      <c r="F426" s="28">
        <v>20493717.226</v>
      </c>
      <c r="G426" s="29">
        <v>806120.19333076919</v>
      </c>
      <c r="H426" s="25" cm="1">
        <f t="array" ref="H426">INDEX(Таблица1[Количество складов],MATCH(1,(Таблица1[Дата]=Лист1!A426)*(Таблица1[Территория]=Лист1!C426),0))</f>
        <v>129</v>
      </c>
      <c r="I426" s="25" cm="1">
        <f t="array" ref="I426">INDEX(Таблица1[Количество заказов],MATCH(1,(Таблица1[Дата]=Лист1!A426)*(Таблица1[Территория]=Лист1!C426),0))</f>
        <v>15804</v>
      </c>
      <c r="J426" s="25" cm="1">
        <f t="array" ref="J426">INDEX(Таблица1[Количество клиентов],MATCH(1,(Таблица1[Дата]=Лист1!A426)*(Таблица1[Территория]=Лист1!C426),0))</f>
        <v>14738</v>
      </c>
    </row>
    <row r="427" spans="1:10" x14ac:dyDescent="0.3">
      <c r="A427" s="15">
        <v>43966</v>
      </c>
      <c r="B427" s="36">
        <f t="shared" si="6"/>
        <v>20</v>
      </c>
      <c r="C427" s="16" t="s">
        <v>16</v>
      </c>
      <c r="D427" s="26">
        <v>318816</v>
      </c>
      <c r="E427" s="30">
        <v>32354331</v>
      </c>
      <c r="F427" s="30">
        <v>23895072.432</v>
      </c>
      <c r="G427" s="31">
        <v>616932.92353846144</v>
      </c>
      <c r="H427" s="26" cm="1">
        <f t="array" ref="H427">INDEX(Таблица1[Количество складов],MATCH(1,(Таблица1[Дата]=Лист1!A427)*(Таблица1[Территория]=Лист1!C427),0))</f>
        <v>129</v>
      </c>
      <c r="I427" s="26" cm="1">
        <f t="array" ref="I427">INDEX(Таблица1[Количество заказов],MATCH(1,(Таблица1[Дата]=Лист1!A427)*(Таблица1[Территория]=Лист1!C427),0))</f>
        <v>17808</v>
      </c>
      <c r="J427" s="26" cm="1">
        <f t="array" ref="J427">INDEX(Таблица1[Количество клиентов],MATCH(1,(Таблица1[Дата]=Лист1!A427)*(Таблица1[Территория]=Лист1!C427),0))</f>
        <v>16486</v>
      </c>
    </row>
    <row r="428" spans="1:10" x14ac:dyDescent="0.3">
      <c r="A428" s="13">
        <v>43978</v>
      </c>
      <c r="B428" s="35">
        <f t="shared" si="6"/>
        <v>22</v>
      </c>
      <c r="C428" s="14" t="s">
        <v>15</v>
      </c>
      <c r="D428" s="25">
        <v>370012.5</v>
      </c>
      <c r="E428" s="28">
        <v>39034861.5</v>
      </c>
      <c r="F428" s="28">
        <v>28040467.216000002</v>
      </c>
      <c r="G428" s="29">
        <v>681486.56664615381</v>
      </c>
      <c r="H428" s="25" cm="1">
        <f t="array" ref="H428">INDEX(Таблица1[Количество складов],MATCH(1,(Таблица1[Дата]=Лист1!A428)*(Таблица1[Территория]=Лист1!C428),0))</f>
        <v>124</v>
      </c>
      <c r="I428" s="25" cm="1">
        <f t="array" ref="I428">INDEX(Таблица1[Количество заказов],MATCH(1,(Таблица1[Дата]=Лист1!A428)*(Таблица1[Территория]=Лист1!C428),0))</f>
        <v>21384</v>
      </c>
      <c r="J428" s="25" cm="1">
        <f t="array" ref="J428">INDEX(Таблица1[Количество клиентов],MATCH(1,(Таблица1[Дата]=Лист1!A428)*(Таблица1[Территория]=Лист1!C428),0))</f>
        <v>19897</v>
      </c>
    </row>
    <row r="429" spans="1:10" x14ac:dyDescent="0.3">
      <c r="A429" s="15">
        <v>43973</v>
      </c>
      <c r="B429" s="36">
        <f t="shared" si="6"/>
        <v>21</v>
      </c>
      <c r="C429" s="16" t="s">
        <v>15</v>
      </c>
      <c r="D429" s="26">
        <v>393018</v>
      </c>
      <c r="E429" s="30">
        <v>39498373.5</v>
      </c>
      <c r="F429" s="30">
        <v>29683782.432999995</v>
      </c>
      <c r="G429" s="31">
        <v>636230.32011538453</v>
      </c>
      <c r="H429" s="26" cm="1">
        <f t="array" ref="H429">INDEX(Таблица1[Количество складов],MATCH(1,(Таблица1[Дата]=Лист1!A429)*(Таблица1[Территория]=Лист1!C429),0))</f>
        <v>125</v>
      </c>
      <c r="I429" s="26" cm="1">
        <f t="array" ref="I429">INDEX(Таблица1[Количество заказов],MATCH(1,(Таблица1[Дата]=Лист1!A429)*(Таблица1[Территория]=Лист1!C429),0))</f>
        <v>21427</v>
      </c>
      <c r="J429" s="26" cm="1">
        <f t="array" ref="J429">INDEX(Таблица1[Количество клиентов],MATCH(1,(Таблица1[Дата]=Лист1!A429)*(Таблица1[Территория]=Лист1!C429),0))</f>
        <v>19799</v>
      </c>
    </row>
    <row r="430" spans="1:10" x14ac:dyDescent="0.3">
      <c r="A430" s="13">
        <v>43983</v>
      </c>
      <c r="B430" s="35">
        <f t="shared" si="6"/>
        <v>23</v>
      </c>
      <c r="C430" s="14" t="s">
        <v>15</v>
      </c>
      <c r="D430" s="25">
        <v>349699.5</v>
      </c>
      <c r="E430" s="28">
        <v>37257840.18135</v>
      </c>
      <c r="F430" s="28">
        <v>27640203.134</v>
      </c>
      <c r="G430" s="29">
        <v>744856.58547692304</v>
      </c>
      <c r="H430" s="25" cm="1">
        <f t="array" ref="H430">INDEX(Таблица1[Количество складов],MATCH(1,(Таблица1[Дата]=Лист1!A430)*(Таблица1[Территория]=Лист1!C430),0))</f>
        <v>123</v>
      </c>
      <c r="I430" s="25" cm="1">
        <f t="array" ref="I430">INDEX(Таблица1[Количество заказов],MATCH(1,(Таблица1[Дата]=Лист1!A430)*(Таблица1[Территория]=Лист1!C430),0))</f>
        <v>20325</v>
      </c>
      <c r="J430" s="25" cm="1">
        <f t="array" ref="J430">INDEX(Таблица1[Количество клиентов],MATCH(1,(Таблица1[Дата]=Лист1!A430)*(Таблица1[Территория]=Лист1!C430),0))</f>
        <v>18935</v>
      </c>
    </row>
    <row r="431" spans="1:10" x14ac:dyDescent="0.3">
      <c r="A431" s="15">
        <v>43962</v>
      </c>
      <c r="B431" s="36">
        <f t="shared" si="6"/>
        <v>20</v>
      </c>
      <c r="C431" s="16" t="s">
        <v>15</v>
      </c>
      <c r="D431" s="26">
        <v>318565.5</v>
      </c>
      <c r="E431" s="30">
        <v>33781581</v>
      </c>
      <c r="F431" s="30">
        <v>24232690.171</v>
      </c>
      <c r="G431" s="31">
        <v>605833.76570769225</v>
      </c>
      <c r="H431" s="26" cm="1">
        <f t="array" ref="H431">INDEX(Таблица1[Количество складов],MATCH(1,(Таблица1[Дата]=Лист1!A431)*(Таблица1[Территория]=Лист1!C431),0))</f>
        <v>125</v>
      </c>
      <c r="I431" s="26" cm="1">
        <f t="array" ref="I431">INDEX(Таблица1[Количество заказов],MATCH(1,(Таблица1[Дата]=Лист1!A431)*(Таблица1[Территория]=Лист1!C431),0))</f>
        <v>18066</v>
      </c>
      <c r="J431" s="26" cm="1">
        <f t="array" ref="J431">INDEX(Таблица1[Количество клиентов],MATCH(1,(Таблица1[Дата]=Лист1!A431)*(Таблица1[Территория]=Лист1!C431),0))</f>
        <v>16883</v>
      </c>
    </row>
    <row r="432" spans="1:10" x14ac:dyDescent="0.3">
      <c r="A432" s="13">
        <v>43980</v>
      </c>
      <c r="B432" s="35">
        <f t="shared" si="6"/>
        <v>22</v>
      </c>
      <c r="C432" s="14" t="s">
        <v>16</v>
      </c>
      <c r="D432" s="25">
        <v>422965.5</v>
      </c>
      <c r="E432" s="28">
        <v>41767140.105000004</v>
      </c>
      <c r="F432" s="28">
        <v>32361318.846999999</v>
      </c>
      <c r="G432" s="29">
        <v>525087.91538461542</v>
      </c>
      <c r="H432" s="25" cm="1">
        <f t="array" ref="H432">INDEX(Таблица1[Количество складов],MATCH(1,(Таблица1[Дата]=Лист1!A432)*(Таблица1[Территория]=Лист1!C432),0))</f>
        <v>129</v>
      </c>
      <c r="I432" s="25" cm="1">
        <f t="array" ref="I432">INDEX(Таблица1[Количество заказов],MATCH(1,(Таблица1[Дата]=Лист1!A432)*(Таблица1[Территория]=Лист1!C432),0))</f>
        <v>22403</v>
      </c>
      <c r="J432" s="25" cm="1">
        <f t="array" ref="J432">INDEX(Таблица1[Количество клиентов],MATCH(1,(Таблица1[Дата]=Лист1!A432)*(Таблица1[Территория]=Лист1!C432),0))</f>
        <v>20676</v>
      </c>
    </row>
    <row r="433" spans="1:10" x14ac:dyDescent="0.3">
      <c r="A433" s="15">
        <v>43969</v>
      </c>
      <c r="B433" s="36">
        <f t="shared" si="6"/>
        <v>21</v>
      </c>
      <c r="C433" s="16" t="s">
        <v>15</v>
      </c>
      <c r="D433" s="26">
        <v>355081.5</v>
      </c>
      <c r="E433" s="30">
        <v>36876888</v>
      </c>
      <c r="F433" s="30">
        <v>26228948.559</v>
      </c>
      <c r="G433" s="31">
        <v>898617.75030769221</v>
      </c>
      <c r="H433" s="26" cm="1">
        <f t="array" ref="H433">INDEX(Таблица1[Количество складов],MATCH(1,(Таблица1[Дата]=Лист1!A433)*(Таблица1[Территория]=Лист1!C433),0))</f>
        <v>125</v>
      </c>
      <c r="I433" s="26" cm="1">
        <f t="array" ref="I433">INDEX(Таблица1[Количество заказов],MATCH(1,(Таблица1[Дата]=Лист1!A433)*(Таблица1[Территория]=Лист1!C433),0))</f>
        <v>20449</v>
      </c>
      <c r="J433" s="26" cm="1">
        <f t="array" ref="J433">INDEX(Таблица1[Количество клиентов],MATCH(1,(Таблица1[Дата]=Лист1!A433)*(Таблица1[Территория]=Лист1!C433),0))</f>
        <v>19060</v>
      </c>
    </row>
    <row r="434" spans="1:10" x14ac:dyDescent="0.3">
      <c r="A434" s="13">
        <v>43965</v>
      </c>
      <c r="B434" s="35">
        <f t="shared" si="6"/>
        <v>20</v>
      </c>
      <c r="C434" s="14" t="s">
        <v>15</v>
      </c>
      <c r="D434" s="25">
        <v>358387.5</v>
      </c>
      <c r="E434" s="28">
        <v>37963150.5</v>
      </c>
      <c r="F434" s="28">
        <v>27483828.208999999</v>
      </c>
      <c r="G434" s="29">
        <v>506964.83088461537</v>
      </c>
      <c r="H434" s="25" cm="1">
        <f t="array" ref="H434">INDEX(Таблица1[Количество складов],MATCH(1,(Таблица1[Дата]=Лист1!A434)*(Таблица1[Территория]=Лист1!C434),0))</f>
        <v>125</v>
      </c>
      <c r="I434" s="25" cm="1">
        <f t="array" ref="I434">INDEX(Таблица1[Количество заказов],MATCH(1,(Таблица1[Дата]=Лист1!A434)*(Таблица1[Территория]=Лист1!C434),0))</f>
        <v>20247</v>
      </c>
      <c r="J434" s="25" cm="1">
        <f t="array" ref="J434">INDEX(Таблица1[Количество клиентов],MATCH(1,(Таблица1[Дата]=Лист1!A434)*(Таблица1[Территория]=Лист1!C434),0))</f>
        <v>18812</v>
      </c>
    </row>
    <row r="435" spans="1:10" x14ac:dyDescent="0.3">
      <c r="A435" s="15">
        <v>43966</v>
      </c>
      <c r="B435" s="36">
        <f t="shared" si="6"/>
        <v>20</v>
      </c>
      <c r="C435" s="16" t="s">
        <v>15</v>
      </c>
      <c r="D435" s="26">
        <v>403261.5</v>
      </c>
      <c r="E435" s="30">
        <v>42271377</v>
      </c>
      <c r="F435" s="30">
        <v>31105053.390999999</v>
      </c>
      <c r="G435" s="31">
        <v>571050.76427692303</v>
      </c>
      <c r="H435" s="26" cm="1">
        <f t="array" ref="H435">INDEX(Таблица1[Количество складов],MATCH(1,(Таблица1[Дата]=Лист1!A435)*(Таблица1[Территория]=Лист1!C435),0))</f>
        <v>125</v>
      </c>
      <c r="I435" s="26" cm="1">
        <f t="array" ref="I435">INDEX(Таблица1[Количество заказов],MATCH(1,(Таблица1[Дата]=Лист1!A435)*(Таблица1[Территория]=Лист1!C435),0))</f>
        <v>21862</v>
      </c>
      <c r="J435" s="26" cm="1">
        <f t="array" ref="J435">INDEX(Таблица1[Количество клиентов],MATCH(1,(Таблица1[Дата]=Лист1!A435)*(Таблица1[Территория]=Лист1!C435),0))</f>
        <v>20235</v>
      </c>
    </row>
    <row r="436" spans="1:10" x14ac:dyDescent="0.3">
      <c r="A436" s="13">
        <v>43978</v>
      </c>
      <c r="B436" s="35">
        <f t="shared" si="6"/>
        <v>22</v>
      </c>
      <c r="C436" s="14" t="s">
        <v>3</v>
      </c>
      <c r="D436" s="25">
        <v>69010.5</v>
      </c>
      <c r="E436" s="28">
        <v>5985894</v>
      </c>
      <c r="F436" s="28">
        <v>4624968.49</v>
      </c>
      <c r="G436" s="29">
        <v>168769.33384615384</v>
      </c>
      <c r="H436" s="25" cm="1">
        <f t="array" ref="H436">INDEX(Таблица1[Количество складов],MATCH(1,(Таблица1[Дата]=Лист1!A436)*(Таблица1[Территория]=Лист1!C436),0))</f>
        <v>36</v>
      </c>
      <c r="I436" s="25" cm="1">
        <f t="array" ref="I436">INDEX(Таблица1[Количество заказов],MATCH(1,(Таблица1[Дата]=Лист1!A436)*(Таблица1[Территория]=Лист1!C436),0))</f>
        <v>4951</v>
      </c>
      <c r="J436" s="25" cm="1">
        <f t="array" ref="J436">INDEX(Таблица1[Количество клиентов],MATCH(1,(Таблица1[Дата]=Лист1!A436)*(Таблица1[Территория]=Лист1!C436),0))</f>
        <v>4584</v>
      </c>
    </row>
    <row r="437" spans="1:10" x14ac:dyDescent="0.3">
      <c r="A437" s="15">
        <v>43973</v>
      </c>
      <c r="B437" s="36">
        <f t="shared" si="6"/>
        <v>21</v>
      </c>
      <c r="C437" s="16" t="s">
        <v>3</v>
      </c>
      <c r="D437" s="26">
        <v>75820.5</v>
      </c>
      <c r="E437" s="30">
        <v>5943489</v>
      </c>
      <c r="F437" s="30">
        <v>5046963.6720000003</v>
      </c>
      <c r="G437" s="31">
        <v>196334.07284615384</v>
      </c>
      <c r="H437" s="26" cm="1">
        <f t="array" ref="H437">INDEX(Таблица1[Количество складов],MATCH(1,(Таблица1[Дата]=Лист1!A437)*(Таблица1[Территория]=Лист1!C437),0))</f>
        <v>36</v>
      </c>
      <c r="I437" s="26" cm="1">
        <f t="array" ref="I437">INDEX(Таблица1[Количество заказов],MATCH(1,(Таблица1[Дата]=Лист1!A437)*(Таблица1[Территория]=Лист1!C437),0))</f>
        <v>4857</v>
      </c>
      <c r="J437" s="26" cm="1">
        <f t="array" ref="J437">INDEX(Таблица1[Количество клиентов],MATCH(1,(Таблица1[Дата]=Лист1!A437)*(Таблица1[Территория]=Лист1!C437),0))</f>
        <v>4456</v>
      </c>
    </row>
    <row r="438" spans="1:10" x14ac:dyDescent="0.3">
      <c r="A438" s="13">
        <v>43983</v>
      </c>
      <c r="B438" s="35">
        <f t="shared" si="6"/>
        <v>23</v>
      </c>
      <c r="C438" s="14" t="s">
        <v>3</v>
      </c>
      <c r="D438" s="25">
        <v>64740</v>
      </c>
      <c r="E438" s="28">
        <v>5800290</v>
      </c>
      <c r="F438" s="28">
        <v>4332158.4330000002</v>
      </c>
      <c r="G438" s="29">
        <v>205428.24997692305</v>
      </c>
      <c r="H438" s="25" cm="1">
        <f t="array" ref="H438">INDEX(Таблица1[Количество складов],MATCH(1,(Таблица1[Дата]=Лист1!A438)*(Таблица1[Территория]=Лист1!C438),0))</f>
        <v>37</v>
      </c>
      <c r="I438" s="25" cm="1">
        <f t="array" ref="I438">INDEX(Таблица1[Количество заказов],MATCH(1,(Таблица1[Дата]=Лист1!A438)*(Таблица1[Территория]=Лист1!C438),0))</f>
        <v>4722</v>
      </c>
      <c r="J438" s="25" cm="1">
        <f t="array" ref="J438">INDEX(Таблица1[Количество клиентов],MATCH(1,(Таблица1[Дата]=Лист1!A438)*(Таблица1[Территория]=Лист1!C438),0))</f>
        <v>4352</v>
      </c>
    </row>
    <row r="439" spans="1:10" x14ac:dyDescent="0.3">
      <c r="A439" s="15">
        <v>43962</v>
      </c>
      <c r="B439" s="36">
        <f t="shared" si="6"/>
        <v>20</v>
      </c>
      <c r="C439" s="16" t="s">
        <v>3</v>
      </c>
      <c r="D439" s="26">
        <v>59574</v>
      </c>
      <c r="E439" s="30">
        <v>5178169.5</v>
      </c>
      <c r="F439" s="30">
        <v>3929032.2650000001</v>
      </c>
      <c r="G439" s="31">
        <v>208822.33076923079</v>
      </c>
      <c r="H439" s="26" cm="1">
        <f t="array" ref="H439">INDEX(Таблица1[Количество складов],MATCH(1,(Таблица1[Дата]=Лист1!A439)*(Таблица1[Территория]=Лист1!C439),0))</f>
        <v>36</v>
      </c>
      <c r="I439" s="26" cm="1">
        <f t="array" ref="I439">INDEX(Таблица1[Количество заказов],MATCH(1,(Таблица1[Дата]=Лист1!A439)*(Таблица1[Территория]=Лист1!C439),0))</f>
        <v>4150</v>
      </c>
      <c r="J439" s="26" cm="1">
        <f t="array" ref="J439">INDEX(Таблица1[Количество клиентов],MATCH(1,(Таблица1[Дата]=Лист1!A439)*(Таблица1[Территория]=Лист1!C439),0))</f>
        <v>3838</v>
      </c>
    </row>
    <row r="440" spans="1:10" x14ac:dyDescent="0.3">
      <c r="A440" s="13">
        <v>43980</v>
      </c>
      <c r="B440" s="35">
        <f t="shared" si="6"/>
        <v>22</v>
      </c>
      <c r="C440" s="14" t="s">
        <v>15</v>
      </c>
      <c r="D440" s="25">
        <v>524481</v>
      </c>
      <c r="E440" s="28">
        <v>54172029</v>
      </c>
      <c r="F440" s="28">
        <v>41382275.210999995</v>
      </c>
      <c r="G440" s="29">
        <v>512623.0388076923</v>
      </c>
      <c r="H440" s="25" cm="1">
        <f t="array" ref="H440">INDEX(Таблица1[Количество складов],MATCH(1,(Таблица1[Дата]=Лист1!A440)*(Таблица1[Территория]=Лист1!C440),0))</f>
        <v>124</v>
      </c>
      <c r="I440" s="25" cm="1">
        <f t="array" ref="I440">INDEX(Таблица1[Количество заказов],MATCH(1,(Таблица1[Дата]=Лист1!A440)*(Таблица1[Территория]=Лист1!C440),0))</f>
        <v>25828</v>
      </c>
      <c r="J440" s="25" cm="1">
        <f t="array" ref="J440">INDEX(Таблица1[Количество клиентов],MATCH(1,(Таблица1[Дата]=Лист1!A440)*(Таблица1[Территория]=Лист1!C440),0))</f>
        <v>23974</v>
      </c>
    </row>
    <row r="441" spans="1:10" x14ac:dyDescent="0.3">
      <c r="A441" s="15">
        <v>43969</v>
      </c>
      <c r="B441" s="36">
        <f t="shared" si="6"/>
        <v>21</v>
      </c>
      <c r="C441" s="16" t="s">
        <v>3</v>
      </c>
      <c r="D441" s="26">
        <v>70278</v>
      </c>
      <c r="E441" s="30">
        <v>5798476.5</v>
      </c>
      <c r="F441" s="30">
        <v>4485664.5060000001</v>
      </c>
      <c r="G441" s="31">
        <v>182019.63597692308</v>
      </c>
      <c r="H441" s="26" cm="1">
        <f t="array" ref="H441">INDEX(Таблица1[Количество складов],MATCH(1,(Таблица1[Дата]=Лист1!A441)*(Таблица1[Территория]=Лист1!C441),0))</f>
        <v>36</v>
      </c>
      <c r="I441" s="26" cm="1">
        <f t="array" ref="I441">INDEX(Таблица1[Количество заказов],MATCH(1,(Таблица1[Дата]=Лист1!A441)*(Таблица1[Территория]=Лист1!C441),0))</f>
        <v>4885</v>
      </c>
      <c r="J441" s="26" cm="1">
        <f t="array" ref="J441">INDEX(Таблица1[Количество клиентов],MATCH(1,(Таблица1[Дата]=Лист1!A441)*(Таблица1[Территория]=Лист1!C441),0))</f>
        <v>4502</v>
      </c>
    </row>
    <row r="442" spans="1:10" x14ac:dyDescent="0.3">
      <c r="A442" s="13">
        <v>43965</v>
      </c>
      <c r="B442" s="35">
        <f t="shared" si="6"/>
        <v>20</v>
      </c>
      <c r="C442" s="14" t="s">
        <v>3</v>
      </c>
      <c r="D442" s="25">
        <v>63645</v>
      </c>
      <c r="E442" s="28">
        <v>5366602.5</v>
      </c>
      <c r="F442" s="28">
        <v>4245727.3389999997</v>
      </c>
      <c r="G442" s="29">
        <v>137701.4149</v>
      </c>
      <c r="H442" s="25" cm="1">
        <f t="array" ref="H442">INDEX(Таблица1[Количество складов],MATCH(1,(Таблица1[Дата]=Лист1!A442)*(Таблица1[Территория]=Лист1!C442),0))</f>
        <v>36</v>
      </c>
      <c r="I442" s="25" cm="1">
        <f t="array" ref="I442">INDEX(Таблица1[Количество заказов],MATCH(1,(Таблица1[Дата]=Лист1!A442)*(Таблица1[Территория]=Лист1!C442),0))</f>
        <v>4285</v>
      </c>
      <c r="J442" s="25" cm="1">
        <f t="array" ref="J442">INDEX(Таблица1[Количество клиентов],MATCH(1,(Таблица1[Дата]=Лист1!A442)*(Таблица1[Территория]=Лист1!C442),0))</f>
        <v>3950</v>
      </c>
    </row>
    <row r="443" spans="1:10" x14ac:dyDescent="0.3">
      <c r="A443" s="15">
        <v>43966</v>
      </c>
      <c r="B443" s="36">
        <f t="shared" si="6"/>
        <v>20</v>
      </c>
      <c r="C443" s="16" t="s">
        <v>3</v>
      </c>
      <c r="D443" s="26">
        <v>75642</v>
      </c>
      <c r="E443" s="30">
        <v>6293952</v>
      </c>
      <c r="F443" s="30">
        <v>5100877.9309999999</v>
      </c>
      <c r="G443" s="31">
        <v>159537.61835384613</v>
      </c>
      <c r="H443" s="26" cm="1">
        <f t="array" ref="H443">INDEX(Таблица1[Количество складов],MATCH(1,(Таблица1[Дата]=Лист1!A443)*(Таблица1[Территория]=Лист1!C443),0))</f>
        <v>36</v>
      </c>
      <c r="I443" s="26" cm="1">
        <f t="array" ref="I443">INDEX(Таблица1[Количество заказов],MATCH(1,(Таблица1[Дата]=Лист1!A443)*(Таблица1[Территория]=Лист1!C443),0))</f>
        <v>4862</v>
      </c>
      <c r="J443" s="26" cm="1">
        <f t="array" ref="J443">INDEX(Таблица1[Количество клиентов],MATCH(1,(Таблица1[Дата]=Лист1!A443)*(Таблица1[Территория]=Лист1!C443),0))</f>
        <v>4476</v>
      </c>
    </row>
    <row r="444" spans="1:10" x14ac:dyDescent="0.3">
      <c r="A444" s="13">
        <v>43978</v>
      </c>
      <c r="B444" s="35">
        <f t="shared" si="6"/>
        <v>22</v>
      </c>
      <c r="C444" s="14" t="s">
        <v>5</v>
      </c>
      <c r="D444" s="25">
        <v>40420.5</v>
      </c>
      <c r="E444" s="28">
        <v>3780852</v>
      </c>
      <c r="F444" s="28">
        <v>2893288.4459999995</v>
      </c>
      <c r="G444" s="29">
        <v>291528.45785384614</v>
      </c>
      <c r="H444" s="25" cm="1">
        <f t="array" ref="H444">INDEX(Таблица1[Количество складов],MATCH(1,(Таблица1[Дата]=Лист1!A444)*(Таблица1[Территория]=Лист1!C444),0))</f>
        <v>21</v>
      </c>
      <c r="I444" s="25" cm="1">
        <f t="array" ref="I444">INDEX(Таблица1[Количество заказов],MATCH(1,(Таблица1[Дата]=Лист1!A444)*(Таблица1[Территория]=Лист1!C444),0))</f>
        <v>2430</v>
      </c>
      <c r="J444" s="25" cm="1">
        <f t="array" ref="J444">INDEX(Таблица1[Количество клиентов],MATCH(1,(Таблица1[Дата]=Лист1!A444)*(Таблица1[Территория]=Лист1!C444),0))</f>
        <v>2216</v>
      </c>
    </row>
    <row r="445" spans="1:10" x14ac:dyDescent="0.3">
      <c r="A445" s="15">
        <v>43973</v>
      </c>
      <c r="B445" s="36">
        <f t="shared" si="6"/>
        <v>21</v>
      </c>
      <c r="C445" s="16" t="s">
        <v>5</v>
      </c>
      <c r="D445" s="26">
        <v>53838</v>
      </c>
      <c r="E445" s="30">
        <v>4840833</v>
      </c>
      <c r="F445" s="30">
        <v>4017247.747</v>
      </c>
      <c r="G445" s="31">
        <v>147709.19777692307</v>
      </c>
      <c r="H445" s="26" cm="1">
        <f t="array" ref="H445">INDEX(Таблица1[Количество складов],MATCH(1,(Таблица1[Дата]=Лист1!A445)*(Таблица1[Территория]=Лист1!C445),0))</f>
        <v>21</v>
      </c>
      <c r="I445" s="26" cm="1">
        <f t="array" ref="I445">INDEX(Таблица1[Количество заказов],MATCH(1,(Таблица1[Дата]=Лист1!A445)*(Таблица1[Территория]=Лист1!C445),0))</f>
        <v>2861</v>
      </c>
      <c r="J445" s="26" cm="1">
        <f t="array" ref="J445">INDEX(Таблица1[Количество клиентов],MATCH(1,(Таблица1[Дата]=Лист1!A445)*(Таблица1[Территория]=Лист1!C445),0))</f>
        <v>2612</v>
      </c>
    </row>
    <row r="446" spans="1:10" x14ac:dyDescent="0.3">
      <c r="A446" s="13">
        <v>43983</v>
      </c>
      <c r="B446" s="35">
        <f t="shared" si="6"/>
        <v>23</v>
      </c>
      <c r="C446" s="14" t="s">
        <v>5</v>
      </c>
      <c r="D446" s="25">
        <v>40528.5</v>
      </c>
      <c r="E446" s="28">
        <v>3865251</v>
      </c>
      <c r="F446" s="28">
        <v>2972895.4169999999</v>
      </c>
      <c r="G446" s="29">
        <v>336001.08039230772</v>
      </c>
      <c r="H446" s="25" cm="1">
        <f t="array" ref="H446">INDEX(Таблица1[Количество складов],MATCH(1,(Таблица1[Дата]=Лист1!A446)*(Таблица1[Территория]=Лист1!C446),0))</f>
        <v>23</v>
      </c>
      <c r="I446" s="25" cm="1">
        <f t="array" ref="I446">INDEX(Таблица1[Количество заказов],MATCH(1,(Таблица1[Дата]=Лист1!A446)*(Таблица1[Территория]=Лист1!C446),0))</f>
        <v>2531</v>
      </c>
      <c r="J446" s="25" cm="1">
        <f t="array" ref="J446">INDEX(Таблица1[Количество клиентов],MATCH(1,(Таблица1[Дата]=Лист1!A446)*(Таблица1[Территория]=Лист1!C446),0))</f>
        <v>2296</v>
      </c>
    </row>
    <row r="447" spans="1:10" x14ac:dyDescent="0.3">
      <c r="A447" s="15">
        <v>43962</v>
      </c>
      <c r="B447" s="36">
        <f t="shared" si="6"/>
        <v>20</v>
      </c>
      <c r="C447" s="16" t="s">
        <v>5</v>
      </c>
      <c r="D447" s="26">
        <v>32733</v>
      </c>
      <c r="E447" s="30">
        <v>3079630.5</v>
      </c>
      <c r="F447" s="30">
        <v>2364369.4010000001</v>
      </c>
      <c r="G447" s="31">
        <v>281373.57021538459</v>
      </c>
      <c r="H447" s="26" cm="1">
        <f t="array" ref="H447">INDEX(Таблица1[Количество складов],MATCH(1,(Таблица1[Дата]=Лист1!A447)*(Таблица1[Территория]=Лист1!C447),0))</f>
        <v>21</v>
      </c>
      <c r="I447" s="26" cm="1">
        <f t="array" ref="I447">INDEX(Таблица1[Количество заказов],MATCH(1,(Таблица1[Дата]=Лист1!A447)*(Таблица1[Территория]=Лист1!C447),0))</f>
        <v>1916</v>
      </c>
      <c r="J447" s="26" cm="1">
        <f t="array" ref="J447">INDEX(Таблица1[Количество клиентов],MATCH(1,(Таблица1[Дата]=Лист1!A447)*(Таблица1[Территория]=Лист1!C447),0))</f>
        <v>1733</v>
      </c>
    </row>
    <row r="448" spans="1:10" x14ac:dyDescent="0.3">
      <c r="A448" s="13">
        <v>43980</v>
      </c>
      <c r="B448" s="35">
        <f t="shared" si="6"/>
        <v>22</v>
      </c>
      <c r="C448" s="14" t="s">
        <v>3</v>
      </c>
      <c r="D448" s="25">
        <v>84433.5</v>
      </c>
      <c r="E448" s="28">
        <v>7228395</v>
      </c>
      <c r="F448" s="28">
        <v>5795765.9359999998</v>
      </c>
      <c r="G448" s="29">
        <v>264121.66047692305</v>
      </c>
      <c r="H448" s="25" cm="1">
        <f t="array" ref="H448">INDEX(Таблица1[Количество складов],MATCH(1,(Таблица1[Дата]=Лист1!A448)*(Таблица1[Территория]=Лист1!C448),0))</f>
        <v>37</v>
      </c>
      <c r="I448" s="25" cm="1">
        <f t="array" ref="I448">INDEX(Таблица1[Количество заказов],MATCH(1,(Таблица1[Дата]=Лист1!A448)*(Таблица1[Территория]=Лист1!C448),0))</f>
        <v>5672</v>
      </c>
      <c r="J448" s="25" cm="1">
        <f t="array" ref="J448">INDEX(Таблица1[Количество клиентов],MATCH(1,(Таблица1[Дата]=Лист1!A448)*(Таблица1[Территория]=Лист1!C448),0))</f>
        <v>5198</v>
      </c>
    </row>
    <row r="449" spans="1:10" x14ac:dyDescent="0.3">
      <c r="A449" s="15">
        <v>43969</v>
      </c>
      <c r="B449" s="36">
        <f t="shared" si="6"/>
        <v>21</v>
      </c>
      <c r="C449" s="16" t="s">
        <v>5</v>
      </c>
      <c r="D449" s="26">
        <v>36655.5</v>
      </c>
      <c r="E449" s="30">
        <v>3360135</v>
      </c>
      <c r="F449" s="30">
        <v>2596293.8219999997</v>
      </c>
      <c r="G449" s="31">
        <v>202175.53846153847</v>
      </c>
      <c r="H449" s="26" cm="1">
        <f t="array" ref="H449">INDEX(Таблица1[Количество складов],MATCH(1,(Таблица1[Дата]=Лист1!A449)*(Таблица1[Территория]=Лист1!C449),0))</f>
        <v>21</v>
      </c>
      <c r="I449" s="26" cm="1">
        <f t="array" ref="I449">INDEX(Таблица1[Количество заказов],MATCH(1,(Таблица1[Дата]=Лист1!A449)*(Таблица1[Территория]=Лист1!C449),0))</f>
        <v>2136</v>
      </c>
      <c r="J449" s="26" cm="1">
        <f t="array" ref="J449">INDEX(Таблица1[Количество клиентов],MATCH(1,(Таблица1[Дата]=Лист1!A449)*(Таблица1[Территория]=Лист1!C449),0))</f>
        <v>1947</v>
      </c>
    </row>
    <row r="450" spans="1:10" x14ac:dyDescent="0.3">
      <c r="A450" s="13">
        <v>43965</v>
      </c>
      <c r="B450" s="35">
        <f t="shared" si="6"/>
        <v>20</v>
      </c>
      <c r="C450" s="14" t="s">
        <v>5</v>
      </c>
      <c r="D450" s="25">
        <v>33886.5</v>
      </c>
      <c r="E450" s="28">
        <v>3166479</v>
      </c>
      <c r="F450" s="28">
        <v>2522496.074</v>
      </c>
      <c r="G450" s="29">
        <v>156584.58769230769</v>
      </c>
      <c r="H450" s="25" cm="1">
        <f t="array" ref="H450">INDEX(Таблица1[Количество складов],MATCH(1,(Таблица1[Дата]=Лист1!A450)*(Таблица1[Территория]=Лист1!C450),0))</f>
        <v>21</v>
      </c>
      <c r="I450" s="25" cm="1">
        <f t="array" ref="I450">INDEX(Таблица1[Количество заказов],MATCH(1,(Таблица1[Дата]=Лист1!A450)*(Таблица1[Территория]=Лист1!C450),0))</f>
        <v>1993</v>
      </c>
      <c r="J450" s="25" cm="1">
        <f t="array" ref="J450">INDEX(Таблица1[Количество клиентов],MATCH(1,(Таблица1[Дата]=Лист1!A450)*(Таблица1[Территория]=Лист1!C450),0))</f>
        <v>1796</v>
      </c>
    </row>
    <row r="451" spans="1:10" x14ac:dyDescent="0.3">
      <c r="A451" s="15">
        <v>43966</v>
      </c>
      <c r="B451" s="36">
        <f t="shared" ref="B451:B505" si="7">_xlfn.ISOWEEKNUM(A451)</f>
        <v>20</v>
      </c>
      <c r="C451" s="16" t="s">
        <v>5</v>
      </c>
      <c r="D451" s="26">
        <v>41697</v>
      </c>
      <c r="E451" s="30">
        <v>3772258.5</v>
      </c>
      <c r="F451" s="30">
        <v>3092823.6680000001</v>
      </c>
      <c r="G451" s="31">
        <v>167669.98904615385</v>
      </c>
      <c r="H451" s="26" cm="1">
        <f t="array" ref="H451">INDEX(Таблица1[Количество складов],MATCH(1,(Таблица1[Дата]=Лист1!A451)*(Таблица1[Территория]=Лист1!C451),0))</f>
        <v>21</v>
      </c>
      <c r="I451" s="26" cm="1">
        <f t="array" ref="I451">INDEX(Таблица1[Количество заказов],MATCH(1,(Таблица1[Дата]=Лист1!A451)*(Таблица1[Территория]=Лист1!C451),0))</f>
        <v>2255</v>
      </c>
      <c r="J451" s="26" cm="1">
        <f t="array" ref="J451">INDEX(Таблица1[Количество клиентов],MATCH(1,(Таблица1[Дата]=Лист1!A451)*(Таблица1[Территория]=Лист1!C451),0))</f>
        <v>2045</v>
      </c>
    </row>
    <row r="452" spans="1:10" x14ac:dyDescent="0.3">
      <c r="A452" s="13">
        <v>43980</v>
      </c>
      <c r="B452" s="35">
        <f t="shared" si="7"/>
        <v>22</v>
      </c>
      <c r="C452" s="14" t="s">
        <v>5</v>
      </c>
      <c r="D452" s="25">
        <v>44569.5</v>
      </c>
      <c r="E452" s="28">
        <v>4108596</v>
      </c>
      <c r="F452" s="28">
        <v>3229427.0830000001</v>
      </c>
      <c r="G452" s="29">
        <v>121448.35925384614</v>
      </c>
      <c r="H452" s="25" cm="1">
        <f t="array" ref="H452">INDEX(Таблица1[Количество складов],MATCH(1,(Таблица1[Дата]=Лист1!A452)*(Таблица1[Территория]=Лист1!C452),0))</f>
        <v>22</v>
      </c>
      <c r="I452" s="25" cm="1">
        <f t="array" ref="I452">INDEX(Таблица1[Количество заказов],MATCH(1,(Таблица1[Дата]=Лист1!A452)*(Таблица1[Территория]=Лист1!C452),0))</f>
        <v>2597</v>
      </c>
      <c r="J452" s="25" cm="1">
        <f t="array" ref="J452">INDEX(Таблица1[Количество клиентов],MATCH(1,(Таблица1[Дата]=Лист1!A452)*(Таблица1[Территория]=Лист1!C452),0))</f>
        <v>2379</v>
      </c>
    </row>
    <row r="453" spans="1:10" x14ac:dyDescent="0.3">
      <c r="A453" s="15">
        <v>43978</v>
      </c>
      <c r="B453" s="36">
        <f t="shared" si="7"/>
        <v>22</v>
      </c>
      <c r="C453" s="16" t="s">
        <v>12</v>
      </c>
      <c r="D453" s="26">
        <v>18069</v>
      </c>
      <c r="E453" s="30">
        <v>1603084.5</v>
      </c>
      <c r="F453" s="30">
        <v>1312709.0090000001</v>
      </c>
      <c r="G453" s="31">
        <v>241760.20769230771</v>
      </c>
      <c r="H453" s="26" cm="1">
        <f t="array" ref="H453">INDEX(Таблица1[Количество складов],MATCH(1,(Таблица1[Дата]=Лист1!A453)*(Таблица1[Территория]=Лист1!C453),0))</f>
        <v>17</v>
      </c>
      <c r="I453" s="26" cm="1">
        <f t="array" ref="I453">INDEX(Таблица1[Количество заказов],MATCH(1,(Таблица1[Дата]=Лист1!A453)*(Таблица1[Территория]=Лист1!C453),0))</f>
        <v>1203</v>
      </c>
      <c r="J453" s="26" cm="1">
        <f t="array" ref="J453">INDEX(Таблица1[Количество клиентов],MATCH(1,(Таблица1[Дата]=Лист1!A453)*(Таблица1[Территория]=Лист1!C453),0))</f>
        <v>1077</v>
      </c>
    </row>
    <row r="454" spans="1:10" x14ac:dyDescent="0.3">
      <c r="A454" s="13">
        <v>43973</v>
      </c>
      <c r="B454" s="35">
        <f t="shared" si="7"/>
        <v>21</v>
      </c>
      <c r="C454" s="14" t="s">
        <v>12</v>
      </c>
      <c r="D454" s="25">
        <v>21483</v>
      </c>
      <c r="E454" s="28">
        <v>1774329</v>
      </c>
      <c r="F454" s="28">
        <v>1460215.51</v>
      </c>
      <c r="G454" s="29">
        <v>181509.9923076923</v>
      </c>
      <c r="H454" s="25" cm="1">
        <f t="array" ref="H454">INDEX(Таблица1[Количество складов],MATCH(1,(Таблица1[Дата]=Лист1!A454)*(Таблица1[Территория]=Лист1!C454),0))</f>
        <v>17</v>
      </c>
      <c r="I454" s="25" cm="1">
        <f t="array" ref="I454">INDEX(Таблица1[Количество заказов],MATCH(1,(Таблица1[Дата]=Лист1!A454)*(Таблица1[Территория]=Лист1!C454),0))</f>
        <v>1268</v>
      </c>
      <c r="J454" s="25" cm="1">
        <f t="array" ref="J454">INDEX(Таблица1[Количество клиентов],MATCH(1,(Таблица1[Дата]=Лист1!A454)*(Таблица1[Территория]=Лист1!C454),0))</f>
        <v>1129</v>
      </c>
    </row>
    <row r="455" spans="1:10" x14ac:dyDescent="0.3">
      <c r="A455" s="15">
        <v>43983</v>
      </c>
      <c r="B455" s="36">
        <f t="shared" si="7"/>
        <v>23</v>
      </c>
      <c r="C455" s="16" t="s">
        <v>12</v>
      </c>
      <c r="D455" s="26">
        <v>16687.5</v>
      </c>
      <c r="E455" s="30">
        <v>1526608.5</v>
      </c>
      <c r="F455" s="30">
        <v>1202670.0489999999</v>
      </c>
      <c r="G455" s="31">
        <v>340349.53369230771</v>
      </c>
      <c r="H455" s="26" cm="1">
        <f t="array" ref="H455">INDEX(Таблица1[Количество складов],MATCH(1,(Таблица1[Дата]=Лист1!A455)*(Таблица1[Территория]=Лист1!C455),0))</f>
        <v>17</v>
      </c>
      <c r="I455" s="26" cm="1">
        <f t="array" ref="I455">INDEX(Таблица1[Количество заказов],MATCH(1,(Таблица1[Дата]=Лист1!A455)*(Таблица1[Территория]=Лист1!C455),0))</f>
        <v>1185</v>
      </c>
      <c r="J455" s="26" cm="1">
        <f t="array" ref="J455">INDEX(Таблица1[Количество клиентов],MATCH(1,(Таблица1[Дата]=Лист1!A455)*(Таблица1[Территория]=Лист1!C455),0))</f>
        <v>1042</v>
      </c>
    </row>
    <row r="456" spans="1:10" x14ac:dyDescent="0.3">
      <c r="A456" s="13">
        <v>43962</v>
      </c>
      <c r="B456" s="35">
        <f t="shared" si="7"/>
        <v>20</v>
      </c>
      <c r="C456" s="14" t="s">
        <v>12</v>
      </c>
      <c r="D456" s="25">
        <v>12238.5</v>
      </c>
      <c r="E456" s="28">
        <v>1096002</v>
      </c>
      <c r="F456" s="28">
        <v>872395.08600000001</v>
      </c>
      <c r="G456" s="29">
        <v>218895.40769230769</v>
      </c>
      <c r="H456" s="25" cm="1">
        <f t="array" ref="H456">INDEX(Таблица1[Количество складов],MATCH(1,(Таблица1[Дата]=Лист1!A456)*(Таблица1[Территория]=Лист1!C456),0))</f>
        <v>15</v>
      </c>
      <c r="I456" s="25" cm="1">
        <f t="array" ref="I456">INDEX(Таблица1[Количество заказов],MATCH(1,(Таблица1[Дата]=Лист1!A456)*(Таблица1[Территория]=Лист1!C456),0))</f>
        <v>812</v>
      </c>
      <c r="J456" s="25" cm="1">
        <f t="array" ref="J456">INDEX(Таблица1[Количество клиентов],MATCH(1,(Таблица1[Дата]=Лист1!A456)*(Таблица1[Территория]=Лист1!C456),0))</f>
        <v>714</v>
      </c>
    </row>
    <row r="457" spans="1:10" x14ac:dyDescent="0.3">
      <c r="A457" s="15">
        <v>43969</v>
      </c>
      <c r="B457" s="36">
        <f t="shared" si="7"/>
        <v>21</v>
      </c>
      <c r="C457" s="16" t="s">
        <v>12</v>
      </c>
      <c r="D457" s="26">
        <v>14290.5</v>
      </c>
      <c r="E457" s="30">
        <v>1246162.5</v>
      </c>
      <c r="F457" s="30">
        <v>983143.48999999987</v>
      </c>
      <c r="G457" s="31">
        <v>263823.34615384613</v>
      </c>
      <c r="H457" s="26" cm="1">
        <f t="array" ref="H457">INDEX(Таблица1[Количество складов],MATCH(1,(Таблица1[Дата]=Лист1!A457)*(Таблица1[Территория]=Лист1!C457),0))</f>
        <v>16</v>
      </c>
      <c r="I457" s="26" cm="1">
        <f t="array" ref="I457">INDEX(Таблица1[Количество заказов],MATCH(1,(Таблица1[Дата]=Лист1!A457)*(Таблица1[Территория]=Лист1!C457),0))</f>
        <v>925</v>
      </c>
      <c r="J457" s="26" cm="1">
        <f t="array" ref="J457">INDEX(Таблица1[Количество клиентов],MATCH(1,(Таблица1[Дата]=Лист1!A457)*(Таблица1[Территория]=Лист1!C457),0))</f>
        <v>816</v>
      </c>
    </row>
    <row r="458" spans="1:10" x14ac:dyDescent="0.3">
      <c r="A458" s="13">
        <v>43965</v>
      </c>
      <c r="B458" s="35">
        <f t="shared" si="7"/>
        <v>20</v>
      </c>
      <c r="C458" s="14" t="s">
        <v>12</v>
      </c>
      <c r="D458" s="25">
        <v>14385</v>
      </c>
      <c r="E458" s="28">
        <v>1223491.5</v>
      </c>
      <c r="F458" s="28">
        <v>977925.73100000003</v>
      </c>
      <c r="G458" s="29">
        <v>285708.40769230766</v>
      </c>
      <c r="H458" s="25" cm="1">
        <f t="array" ref="H458">INDEX(Таблица1[Количество складов],MATCH(1,(Таблица1[Дата]=Лист1!A458)*(Таблица1[Территория]=Лист1!C458),0))</f>
        <v>15</v>
      </c>
      <c r="I458" s="25" cm="1">
        <f t="array" ref="I458">INDEX(Таблица1[Количество заказов],MATCH(1,(Таблица1[Дата]=Лист1!A458)*(Таблица1[Территория]=Лист1!C458),0))</f>
        <v>890</v>
      </c>
      <c r="J458" s="25" cm="1">
        <f t="array" ref="J458">INDEX(Таблица1[Количество клиентов],MATCH(1,(Таблица1[Дата]=Лист1!A458)*(Таблица1[Территория]=Лист1!C458),0))</f>
        <v>777</v>
      </c>
    </row>
    <row r="459" spans="1:10" x14ac:dyDescent="0.3">
      <c r="A459" s="15">
        <v>43966</v>
      </c>
      <c r="B459" s="36">
        <f t="shared" si="7"/>
        <v>20</v>
      </c>
      <c r="C459" s="16" t="s">
        <v>12</v>
      </c>
      <c r="D459" s="26">
        <v>16498.5</v>
      </c>
      <c r="E459" s="30">
        <v>1370482.5</v>
      </c>
      <c r="F459" s="30">
        <v>1095453.1229999999</v>
      </c>
      <c r="G459" s="31">
        <v>250663.81538461539</v>
      </c>
      <c r="H459" s="26" cm="1">
        <f t="array" ref="H459">INDEX(Таблица1[Количество складов],MATCH(1,(Таблица1[Дата]=Лист1!A459)*(Таблица1[Территория]=Лист1!C459),0))</f>
        <v>15</v>
      </c>
      <c r="I459" s="26" cm="1">
        <f t="array" ref="I459">INDEX(Таблица1[Количество заказов],MATCH(1,(Таблица1[Дата]=Лист1!A459)*(Таблица1[Территория]=Лист1!C459),0))</f>
        <v>980</v>
      </c>
      <c r="J459" s="26" cm="1">
        <f t="array" ref="J459">INDEX(Таблица1[Количество клиентов],MATCH(1,(Таблица1[Дата]=Лист1!A459)*(Таблица1[Территория]=Лист1!C459),0))</f>
        <v>867</v>
      </c>
    </row>
    <row r="460" spans="1:10" x14ac:dyDescent="0.3">
      <c r="A460" s="13">
        <v>43978</v>
      </c>
      <c r="B460" s="35">
        <f t="shared" si="7"/>
        <v>22</v>
      </c>
      <c r="C460" s="14" t="s">
        <v>13</v>
      </c>
      <c r="D460" s="25">
        <v>13203</v>
      </c>
      <c r="E460" s="28">
        <v>1211457</v>
      </c>
      <c r="F460" s="28">
        <v>964554.21099999989</v>
      </c>
      <c r="G460" s="29">
        <v>156117.80846153846</v>
      </c>
      <c r="H460" s="25" cm="1">
        <f t="array" ref="H460">INDEX(Таблица1[Количество складов],MATCH(1,(Таблица1[Дата]=Лист1!A460)*(Таблица1[Территория]=Лист1!C460),0))</f>
        <v>15</v>
      </c>
      <c r="I460" s="25" cm="1">
        <f t="array" ref="I460">INDEX(Таблица1[Количество заказов],MATCH(1,(Таблица1[Дата]=Лист1!A460)*(Таблица1[Территория]=Лист1!C460),0))</f>
        <v>809</v>
      </c>
      <c r="J460" s="25" cm="1">
        <f t="array" ref="J460">INDEX(Таблица1[Количество клиентов],MATCH(1,(Таблица1[Дата]=Лист1!A460)*(Таблица1[Территория]=Лист1!C460),0))</f>
        <v>702</v>
      </c>
    </row>
    <row r="461" spans="1:10" x14ac:dyDescent="0.3">
      <c r="A461" s="15">
        <v>43973</v>
      </c>
      <c r="B461" s="36">
        <f t="shared" si="7"/>
        <v>21</v>
      </c>
      <c r="C461" s="16" t="s">
        <v>13</v>
      </c>
      <c r="D461" s="26">
        <v>15802.5</v>
      </c>
      <c r="E461" s="30">
        <v>1411909.5</v>
      </c>
      <c r="F461" s="30">
        <v>1158841.584</v>
      </c>
      <c r="G461" s="31">
        <v>186035.59738461539</v>
      </c>
      <c r="H461" s="26" cm="1">
        <f t="array" ref="H461">INDEX(Таблица1[Количество складов],MATCH(1,(Таблица1[Дата]=Лист1!A461)*(Таблица1[Территория]=Лист1!C461),0))</f>
        <v>15</v>
      </c>
      <c r="I461" s="26" cm="1">
        <f t="array" ref="I461">INDEX(Таблица1[Количество заказов],MATCH(1,(Таблица1[Дата]=Лист1!A461)*(Таблица1[Территория]=Лист1!C461),0))</f>
        <v>903</v>
      </c>
      <c r="J461" s="26" cm="1">
        <f t="array" ref="J461">INDEX(Таблица1[Количество клиентов],MATCH(1,(Таблица1[Дата]=Лист1!A461)*(Таблица1[Территория]=Лист1!C461),0))</f>
        <v>792</v>
      </c>
    </row>
    <row r="462" spans="1:10" x14ac:dyDescent="0.3">
      <c r="A462" s="13">
        <v>43983</v>
      </c>
      <c r="B462" s="35">
        <f t="shared" si="7"/>
        <v>23</v>
      </c>
      <c r="C462" s="14" t="s">
        <v>13</v>
      </c>
      <c r="D462" s="25">
        <v>16476</v>
      </c>
      <c r="E462" s="28">
        <v>1565632.5</v>
      </c>
      <c r="F462" s="28">
        <v>1234060.9909999999</v>
      </c>
      <c r="G462" s="29">
        <v>194827.87672307692</v>
      </c>
      <c r="H462" s="25" cm="1">
        <f t="array" ref="H462">INDEX(Таблица1[Количество складов],MATCH(1,(Таблица1[Дата]=Лист1!A462)*(Таблица1[Территория]=Лист1!C462),0))</f>
        <v>16</v>
      </c>
      <c r="I462" s="25" cm="1">
        <f t="array" ref="I462">INDEX(Таблица1[Количество заказов],MATCH(1,(Таблица1[Дата]=Лист1!A462)*(Таблица1[Территория]=Лист1!C462),0))</f>
        <v>1019</v>
      </c>
      <c r="J462" s="25" cm="1">
        <f t="array" ref="J462">INDEX(Таблица1[Количество клиентов],MATCH(1,(Таблица1[Дата]=Лист1!A462)*(Таблица1[Территория]=Лист1!C462),0))</f>
        <v>895</v>
      </c>
    </row>
    <row r="463" spans="1:10" x14ac:dyDescent="0.3">
      <c r="A463" s="15">
        <v>43962</v>
      </c>
      <c r="B463" s="36">
        <f t="shared" si="7"/>
        <v>20</v>
      </c>
      <c r="C463" s="16" t="s">
        <v>13</v>
      </c>
      <c r="D463" s="26">
        <v>12654</v>
      </c>
      <c r="E463" s="30">
        <v>1081158</v>
      </c>
      <c r="F463" s="30">
        <v>927698.82299999986</v>
      </c>
      <c r="G463" s="31">
        <v>197299.08136923076</v>
      </c>
      <c r="H463" s="26" cm="1">
        <f t="array" ref="H463">INDEX(Таблица1[Количество складов],MATCH(1,(Таблица1[Дата]=Лист1!A463)*(Таблица1[Территория]=Лист1!C463),0))</f>
        <v>15</v>
      </c>
      <c r="I463" s="26" cm="1">
        <f t="array" ref="I463">INDEX(Таблица1[Количество заказов],MATCH(1,(Таблица1[Дата]=Лист1!A463)*(Таблица1[Территория]=Лист1!C463),0))</f>
        <v>684</v>
      </c>
      <c r="J463" s="26" cm="1">
        <f t="array" ref="J463">INDEX(Таблица1[Количество клиентов],MATCH(1,(Таблица1[Дата]=Лист1!A463)*(Таблица1[Территория]=Лист1!C463),0))</f>
        <v>585</v>
      </c>
    </row>
    <row r="464" spans="1:10" x14ac:dyDescent="0.3">
      <c r="A464" s="13">
        <v>43980</v>
      </c>
      <c r="B464" s="35">
        <f t="shared" si="7"/>
        <v>22</v>
      </c>
      <c r="C464" s="14" t="s">
        <v>12</v>
      </c>
      <c r="D464" s="25">
        <v>19647</v>
      </c>
      <c r="E464" s="28">
        <v>1764669</v>
      </c>
      <c r="F464" s="28">
        <v>1409485.402</v>
      </c>
      <c r="G464" s="29">
        <v>182377.32307692306</v>
      </c>
      <c r="H464" s="25" cm="1">
        <f t="array" ref="H464">INDEX(Таблица1[Количество складов],MATCH(1,(Таблица1[Дата]=Лист1!A464)*(Таблица1[Территория]=Лист1!C464),0))</f>
        <v>17</v>
      </c>
      <c r="I464" s="25" cm="1">
        <f t="array" ref="I464">INDEX(Таблица1[Количество заказов],MATCH(1,(Таблица1[Дата]=Лист1!A464)*(Таблица1[Территория]=Лист1!C464),0))</f>
        <v>1296</v>
      </c>
      <c r="J464" s="25" cm="1">
        <f t="array" ref="J464">INDEX(Таблица1[Количество клиентов],MATCH(1,(Таблица1[Дата]=Лист1!A464)*(Таблица1[Территория]=Лист1!C464),0))</f>
        <v>1153</v>
      </c>
    </row>
    <row r="465" spans="1:10" x14ac:dyDescent="0.3">
      <c r="A465" s="15">
        <v>43969</v>
      </c>
      <c r="B465" s="36">
        <f t="shared" si="7"/>
        <v>21</v>
      </c>
      <c r="C465" s="16" t="s">
        <v>13</v>
      </c>
      <c r="D465" s="26">
        <v>12450</v>
      </c>
      <c r="E465" s="30">
        <v>1115146.5</v>
      </c>
      <c r="F465" s="30">
        <v>897555.51099999994</v>
      </c>
      <c r="G465" s="31">
        <v>150809.61403846153</v>
      </c>
      <c r="H465" s="26" cm="1">
        <f t="array" ref="H465">INDEX(Таблица1[Количество складов],MATCH(1,(Таблица1[Дата]=Лист1!A465)*(Таблица1[Территория]=Лист1!C465),0))</f>
        <v>15</v>
      </c>
      <c r="I465" s="26" cm="1">
        <f t="array" ref="I465">INDEX(Таблица1[Количество заказов],MATCH(1,(Таблица1[Дата]=Лист1!A465)*(Таблица1[Территория]=Лист1!C465),0))</f>
        <v>729</v>
      </c>
      <c r="J465" s="26" cm="1">
        <f t="array" ref="J465">INDEX(Таблица1[Количество клиентов],MATCH(1,(Таблица1[Дата]=Лист1!A465)*(Таблица1[Территория]=Лист1!C465),0))</f>
        <v>636</v>
      </c>
    </row>
    <row r="466" spans="1:10" x14ac:dyDescent="0.3">
      <c r="A466" s="13">
        <v>43965</v>
      </c>
      <c r="B466" s="35">
        <f t="shared" si="7"/>
        <v>20</v>
      </c>
      <c r="C466" s="14" t="s">
        <v>13</v>
      </c>
      <c r="D466" s="25">
        <v>11161.5</v>
      </c>
      <c r="E466" s="28">
        <v>963502.5</v>
      </c>
      <c r="F466" s="28">
        <v>812962.67800000007</v>
      </c>
      <c r="G466" s="29">
        <v>193118.32307692309</v>
      </c>
      <c r="H466" s="25" cm="1">
        <f t="array" ref="H466">INDEX(Таблица1[Количество складов],MATCH(1,(Таблица1[Дата]=Лист1!A466)*(Таблица1[Территория]=Лист1!C466),0))</f>
        <v>15</v>
      </c>
      <c r="I466" s="25" cm="1">
        <f t="array" ref="I466">INDEX(Таблица1[Количество заказов],MATCH(1,(Таблица1[Дата]=Лист1!A466)*(Таблица1[Территория]=Лист1!C466),0))</f>
        <v>638</v>
      </c>
      <c r="J466" s="25" cm="1">
        <f t="array" ref="J466">INDEX(Таблица1[Количество клиентов],MATCH(1,(Таблица1[Дата]=Лист1!A466)*(Таблица1[Территория]=Лист1!C466),0))</f>
        <v>548</v>
      </c>
    </row>
    <row r="467" spans="1:10" x14ac:dyDescent="0.3">
      <c r="A467" s="15">
        <v>43966</v>
      </c>
      <c r="B467" s="36">
        <f t="shared" si="7"/>
        <v>20</v>
      </c>
      <c r="C467" s="16" t="s">
        <v>13</v>
      </c>
      <c r="D467" s="26">
        <v>12229.5</v>
      </c>
      <c r="E467" s="30">
        <v>1122730.5</v>
      </c>
      <c r="F467" s="30">
        <v>921566.44700000004</v>
      </c>
      <c r="G467" s="31">
        <v>147588</v>
      </c>
      <c r="H467" s="26" cm="1">
        <f t="array" ref="H467">INDEX(Таблица1[Количество складов],MATCH(1,(Таблица1[Дата]=Лист1!A467)*(Таблица1[Территория]=Лист1!C467),0))</f>
        <v>15</v>
      </c>
      <c r="I467" s="26" cm="1">
        <f t="array" ref="I467">INDEX(Таблица1[Количество заказов],MATCH(1,(Таблица1[Дата]=Лист1!A467)*(Таблица1[Территория]=Лист1!C467),0))</f>
        <v>688</v>
      </c>
      <c r="J467" s="26" cm="1">
        <f t="array" ref="J467">INDEX(Таблица1[Количество клиентов],MATCH(1,(Таблица1[Дата]=Лист1!A467)*(Таблица1[Территория]=Лист1!C467),0))</f>
        <v>598</v>
      </c>
    </row>
    <row r="468" spans="1:10" x14ac:dyDescent="0.3">
      <c r="A468" s="13">
        <v>43978</v>
      </c>
      <c r="B468" s="35">
        <f t="shared" si="7"/>
        <v>22</v>
      </c>
      <c r="C468" s="14" t="s">
        <v>7</v>
      </c>
      <c r="D468" s="25">
        <v>28050</v>
      </c>
      <c r="E468" s="28">
        <v>2458555.5</v>
      </c>
      <c r="F468" s="28">
        <v>1979227.4479999999</v>
      </c>
      <c r="G468" s="29">
        <v>122940.53466153846</v>
      </c>
      <c r="H468" s="25" cm="1">
        <f t="array" ref="H468">INDEX(Таблица1[Количество складов],MATCH(1,(Таблица1[Дата]=Лист1!A468)*(Таблица1[Территория]=Лист1!C468),0))</f>
        <v>20</v>
      </c>
      <c r="I468" s="25" cm="1">
        <f t="array" ref="I468">INDEX(Таблица1[Количество заказов],MATCH(1,(Таблица1[Дата]=Лист1!A468)*(Таблица1[Территория]=Лист1!C468),0))</f>
        <v>1873</v>
      </c>
      <c r="J468" s="25" cm="1">
        <f t="array" ref="J468">INDEX(Таблица1[Количество клиентов],MATCH(1,(Таблица1[Дата]=Лист1!A468)*(Таблица1[Территория]=Лист1!C468),0))</f>
        <v>1715</v>
      </c>
    </row>
    <row r="469" spans="1:10" x14ac:dyDescent="0.3">
      <c r="A469" s="15">
        <v>43973</v>
      </c>
      <c r="B469" s="36">
        <f t="shared" si="7"/>
        <v>21</v>
      </c>
      <c r="C469" s="16" t="s">
        <v>7</v>
      </c>
      <c r="D469" s="26">
        <v>30781.5</v>
      </c>
      <c r="E469" s="30">
        <v>2540715</v>
      </c>
      <c r="F469" s="30">
        <v>2108065.5690000001</v>
      </c>
      <c r="G469" s="31">
        <v>90381.169230769228</v>
      </c>
      <c r="H469" s="26" cm="1">
        <f t="array" ref="H469">INDEX(Таблица1[Количество складов],MATCH(1,(Таблица1[Дата]=Лист1!A469)*(Таблица1[Территория]=Лист1!C469),0))</f>
        <v>19</v>
      </c>
      <c r="I469" s="26" cm="1">
        <f t="array" ref="I469">INDEX(Таблица1[Количество заказов],MATCH(1,(Таблица1[Дата]=Лист1!A469)*(Таблица1[Территория]=Лист1!C469),0))</f>
        <v>1859</v>
      </c>
      <c r="J469" s="26" cm="1">
        <f t="array" ref="J469">INDEX(Таблица1[Количество клиентов],MATCH(1,(Таблица1[Дата]=Лист1!A469)*(Таблица1[Территория]=Лист1!C469),0))</f>
        <v>1697</v>
      </c>
    </row>
    <row r="470" spans="1:10" x14ac:dyDescent="0.3">
      <c r="A470" s="13">
        <v>43983</v>
      </c>
      <c r="B470" s="35">
        <f t="shared" si="7"/>
        <v>23</v>
      </c>
      <c r="C470" s="14" t="s">
        <v>7</v>
      </c>
      <c r="D470" s="25">
        <v>27960</v>
      </c>
      <c r="E470" s="28">
        <v>2538967.5</v>
      </c>
      <c r="F470" s="28">
        <v>1983277.5959999997</v>
      </c>
      <c r="G470" s="29">
        <v>134168.53587692307</v>
      </c>
      <c r="H470" s="25" cm="1">
        <f t="array" ref="H470">INDEX(Таблица1[Количество складов],MATCH(1,(Таблица1[Дата]=Лист1!A470)*(Таблица1[Территория]=Лист1!C470),0))</f>
        <v>21</v>
      </c>
      <c r="I470" s="25" cm="1">
        <f t="array" ref="I470">INDEX(Таблица1[Количество заказов],MATCH(1,(Таблица1[Дата]=Лист1!A470)*(Таблица1[Территория]=Лист1!C470),0))</f>
        <v>1879</v>
      </c>
      <c r="J470" s="25" cm="1">
        <f t="array" ref="J470">INDEX(Таблица1[Количество клиентов],MATCH(1,(Таблица1[Дата]=Лист1!A470)*(Таблица1[Территория]=Лист1!C470),0))</f>
        <v>1720</v>
      </c>
    </row>
    <row r="471" spans="1:10" x14ac:dyDescent="0.3">
      <c r="A471" s="15">
        <v>43962</v>
      </c>
      <c r="B471" s="36">
        <f t="shared" si="7"/>
        <v>20</v>
      </c>
      <c r="C471" s="16" t="s">
        <v>7</v>
      </c>
      <c r="D471" s="26">
        <v>23629.5</v>
      </c>
      <c r="E471" s="30">
        <v>2164365</v>
      </c>
      <c r="F471" s="30">
        <v>1678039.8589999999</v>
      </c>
      <c r="G471" s="31">
        <v>151098.71538461538</v>
      </c>
      <c r="H471" s="26" cm="1">
        <f t="array" ref="H471">INDEX(Таблица1[Количество складов],MATCH(1,(Таблица1[Дата]=Лист1!A471)*(Таблица1[Территория]=Лист1!C471),0))</f>
        <v>19</v>
      </c>
      <c r="I471" s="26" cm="1">
        <f t="array" ref="I471">INDEX(Таблица1[Количество заказов],MATCH(1,(Таблица1[Дата]=Лист1!A471)*(Таблица1[Территория]=Лист1!C471),0))</f>
        <v>1527</v>
      </c>
      <c r="J471" s="26" cm="1">
        <f t="array" ref="J471">INDEX(Таблица1[Количество клиентов],MATCH(1,(Таблица1[Дата]=Лист1!A471)*(Таблица1[Территория]=Лист1!C471),0))</f>
        <v>1389</v>
      </c>
    </row>
    <row r="472" spans="1:10" x14ac:dyDescent="0.3">
      <c r="A472" s="13">
        <v>43980</v>
      </c>
      <c r="B472" s="35">
        <f t="shared" si="7"/>
        <v>22</v>
      </c>
      <c r="C472" s="14" t="s">
        <v>13</v>
      </c>
      <c r="D472" s="25">
        <v>17052</v>
      </c>
      <c r="E472" s="28">
        <v>1549020</v>
      </c>
      <c r="F472" s="28">
        <v>1246591.997</v>
      </c>
      <c r="G472" s="29">
        <v>104864.4846153846</v>
      </c>
      <c r="H472" s="25" cm="1">
        <f t="array" ref="H472">INDEX(Таблица1[Количество складов],MATCH(1,(Таблица1[Дата]=Лист1!A472)*(Таблица1[Территория]=Лист1!C472),0))</f>
        <v>16</v>
      </c>
      <c r="I472" s="25" cm="1">
        <f t="array" ref="I472">INDEX(Таблица1[Количество заказов],MATCH(1,(Таблица1[Дата]=Лист1!A472)*(Таблица1[Территория]=Лист1!C472),0))</f>
        <v>981</v>
      </c>
      <c r="J472" s="25" cm="1">
        <f t="array" ref="J472">INDEX(Таблица1[Количество клиентов],MATCH(1,(Таблица1[Дата]=Лист1!A472)*(Таблица1[Территория]=Лист1!C472),0))</f>
        <v>859</v>
      </c>
    </row>
    <row r="473" spans="1:10" x14ac:dyDescent="0.3">
      <c r="A473" s="15">
        <v>43969</v>
      </c>
      <c r="B473" s="36">
        <f t="shared" si="7"/>
        <v>21</v>
      </c>
      <c r="C473" s="16" t="s">
        <v>7</v>
      </c>
      <c r="D473" s="26">
        <v>27181.5</v>
      </c>
      <c r="E473" s="30">
        <v>2324490</v>
      </c>
      <c r="F473" s="30">
        <v>1796459.4790000001</v>
      </c>
      <c r="G473" s="31">
        <v>129793.76153846155</v>
      </c>
      <c r="H473" s="26" cm="1">
        <f t="array" ref="H473">INDEX(Таблица1[Количество складов],MATCH(1,(Таблица1[Дата]=Лист1!A473)*(Таблица1[Территория]=Лист1!C473),0))</f>
        <v>19</v>
      </c>
      <c r="I473" s="26" cm="1">
        <f t="array" ref="I473">INDEX(Таблица1[Количество заказов],MATCH(1,(Таблица1[Дата]=Лист1!A473)*(Таблица1[Территория]=Лист1!C473),0))</f>
        <v>1741</v>
      </c>
      <c r="J473" s="26" cm="1">
        <f t="array" ref="J473">INDEX(Таблица1[Количество клиентов],MATCH(1,(Таблица1[Дата]=Лист1!A473)*(Таблица1[Территория]=Лист1!C473),0))</f>
        <v>1597</v>
      </c>
    </row>
    <row r="474" spans="1:10" x14ac:dyDescent="0.3">
      <c r="A474" s="13">
        <v>43965</v>
      </c>
      <c r="B474" s="35">
        <f t="shared" si="7"/>
        <v>20</v>
      </c>
      <c r="C474" s="14" t="s">
        <v>7</v>
      </c>
      <c r="D474" s="25">
        <v>25656</v>
      </c>
      <c r="E474" s="28">
        <v>2225341.5</v>
      </c>
      <c r="F474" s="28">
        <v>1766450.28</v>
      </c>
      <c r="G474" s="29">
        <v>91828.489107692309</v>
      </c>
      <c r="H474" s="25" cm="1">
        <f t="array" ref="H474">INDEX(Таблица1[Количество складов],MATCH(1,(Таблица1[Дата]=Лист1!A474)*(Таблица1[Территория]=Лист1!C474),0))</f>
        <v>19</v>
      </c>
      <c r="I474" s="25" cm="1">
        <f t="array" ref="I474">INDEX(Таблица1[Количество заказов],MATCH(1,(Таблица1[Дата]=Лист1!A474)*(Таблица1[Территория]=Лист1!C474),0))</f>
        <v>1635</v>
      </c>
      <c r="J474" s="25" cm="1">
        <f t="array" ref="J474">INDEX(Таблица1[Количество клиентов],MATCH(1,(Таблица1[Дата]=Лист1!A474)*(Таблица1[Территория]=Лист1!C474),0))</f>
        <v>1487</v>
      </c>
    </row>
    <row r="475" spans="1:10" x14ac:dyDescent="0.3">
      <c r="A475" s="15">
        <v>43966</v>
      </c>
      <c r="B475" s="36">
        <f t="shared" si="7"/>
        <v>20</v>
      </c>
      <c r="C475" s="16" t="s">
        <v>7</v>
      </c>
      <c r="D475" s="26">
        <v>29283</v>
      </c>
      <c r="E475" s="30">
        <v>2477487</v>
      </c>
      <c r="F475" s="30">
        <v>2005719.3469999998</v>
      </c>
      <c r="G475" s="31">
        <v>77264.32873846154</v>
      </c>
      <c r="H475" s="26" cm="1">
        <f t="array" ref="H475">INDEX(Таблица1[Количество складов],MATCH(1,(Таблица1[Дата]=Лист1!A475)*(Таблица1[Территория]=Лист1!C475),0))</f>
        <v>19</v>
      </c>
      <c r="I475" s="26" cm="1">
        <f t="array" ref="I475">INDEX(Таблица1[Количество заказов],MATCH(1,(Таблица1[Дата]=Лист1!A475)*(Таблица1[Территория]=Лист1!C475),0))</f>
        <v>1780</v>
      </c>
      <c r="J475" s="26" cm="1">
        <f t="array" ref="J475">INDEX(Таблица1[Количество клиентов],MATCH(1,(Таблица1[Дата]=Лист1!A475)*(Таблица1[Территория]=Лист1!C475),0))</f>
        <v>1615</v>
      </c>
    </row>
    <row r="476" spans="1:10" x14ac:dyDescent="0.3">
      <c r="A476" s="13">
        <v>43980</v>
      </c>
      <c r="B476" s="35">
        <f t="shared" si="7"/>
        <v>22</v>
      </c>
      <c r="C476" s="14" t="s">
        <v>7</v>
      </c>
      <c r="D476" s="25">
        <v>32782.5</v>
      </c>
      <c r="E476" s="28">
        <v>2854741.5</v>
      </c>
      <c r="F476" s="28">
        <v>2293738.9569999999</v>
      </c>
      <c r="G476" s="29">
        <v>58400.799200000001</v>
      </c>
      <c r="H476" s="25" cm="1">
        <f t="array" ref="H476">INDEX(Таблица1[Количество складов],MATCH(1,(Таблица1[Дата]=Лист1!A476)*(Таблица1[Территория]=Лист1!C476),0))</f>
        <v>20</v>
      </c>
      <c r="I476" s="25" cm="1">
        <f t="array" ref="I476">INDEX(Таблица1[Количество заказов],MATCH(1,(Таблица1[Дата]=Лист1!A476)*(Таблица1[Территория]=Лист1!C476),0))</f>
        <v>2064</v>
      </c>
      <c r="J476" s="25" cm="1">
        <f t="array" ref="J476">INDEX(Таблица1[Количество клиентов],MATCH(1,(Таблица1[Дата]=Лист1!A476)*(Таблица1[Территория]=Лист1!C476),0))</f>
        <v>1896</v>
      </c>
    </row>
    <row r="477" spans="1:10" x14ac:dyDescent="0.3">
      <c r="A477" s="15">
        <v>43978</v>
      </c>
      <c r="B477" s="36">
        <f t="shared" si="7"/>
        <v>22</v>
      </c>
      <c r="C477" s="16" t="s">
        <v>9</v>
      </c>
      <c r="D477" s="26">
        <v>215592</v>
      </c>
      <c r="E477" s="30">
        <v>22342300.5</v>
      </c>
      <c r="F477" s="30">
        <v>16240834.603999998</v>
      </c>
      <c r="G477" s="31">
        <v>285591.72307692305</v>
      </c>
      <c r="H477" s="26" cm="1">
        <f t="array" ref="H477">INDEX(Таблица1[Количество складов],MATCH(1,(Таблица1[Дата]=Лист1!A477)*(Таблица1[Территория]=Лист1!C477),0))</f>
        <v>59</v>
      </c>
      <c r="I477" s="26" cm="1">
        <f t="array" ref="I477">INDEX(Таблица1[Количество заказов],MATCH(1,(Таблица1[Дата]=Лист1!A477)*(Таблица1[Территория]=Лист1!C477),0))</f>
        <v>13942</v>
      </c>
      <c r="J477" s="26" cm="1">
        <f t="array" ref="J477">INDEX(Таблица1[Количество клиентов],MATCH(1,(Таблица1[Дата]=Лист1!A477)*(Таблица1[Территория]=Лист1!C477),0))</f>
        <v>12986</v>
      </c>
    </row>
    <row r="478" spans="1:10" x14ac:dyDescent="0.3">
      <c r="A478" s="13">
        <v>43973</v>
      </c>
      <c r="B478" s="35">
        <f t="shared" si="7"/>
        <v>21</v>
      </c>
      <c r="C478" s="14" t="s">
        <v>9</v>
      </c>
      <c r="D478" s="25">
        <v>228334.5</v>
      </c>
      <c r="E478" s="28">
        <v>22380772.5</v>
      </c>
      <c r="F478" s="28">
        <v>17031004.072999999</v>
      </c>
      <c r="G478" s="29">
        <v>275436.23846153845</v>
      </c>
      <c r="H478" s="25" cm="1">
        <f t="array" ref="H478">INDEX(Таблица1[Количество складов],MATCH(1,(Таблица1[Дата]=Лист1!A478)*(Таблица1[Территория]=Лист1!C478),0))</f>
        <v>60</v>
      </c>
      <c r="I478" s="25" cm="1">
        <f t="array" ref="I478">INDEX(Таблица1[Количество заказов],MATCH(1,(Таблица1[Дата]=Лист1!A478)*(Таблица1[Территория]=Лист1!C478),0))</f>
        <v>14050</v>
      </c>
      <c r="J478" s="25" cm="1">
        <f t="array" ref="J478">INDEX(Таблица1[Количество клиентов],MATCH(1,(Таблица1[Дата]=Лист1!A478)*(Таблица1[Территория]=Лист1!C478),0))</f>
        <v>13027</v>
      </c>
    </row>
    <row r="479" spans="1:10" x14ac:dyDescent="0.3">
      <c r="A479" s="15">
        <v>43983</v>
      </c>
      <c r="B479" s="36">
        <f t="shared" si="7"/>
        <v>23</v>
      </c>
      <c r="C479" s="16" t="s">
        <v>9</v>
      </c>
      <c r="D479" s="26">
        <v>188776.5</v>
      </c>
      <c r="E479" s="30">
        <v>19465372.5</v>
      </c>
      <c r="F479" s="30">
        <v>14354207.141999999</v>
      </c>
      <c r="G479" s="31">
        <v>467483.70729230763</v>
      </c>
      <c r="H479" s="26" cm="1">
        <f t="array" ref="H479">INDEX(Таблица1[Количество складов],MATCH(1,(Таблица1[Дата]=Лист1!A479)*(Таблица1[Территория]=Лист1!C479),0))</f>
        <v>59</v>
      </c>
      <c r="I479" s="26" cm="1">
        <f t="array" ref="I479">INDEX(Таблица1[Количество заказов],MATCH(1,(Таблица1[Дата]=Лист1!A479)*(Таблица1[Территория]=Лист1!C479),0))</f>
        <v>12299</v>
      </c>
      <c r="J479" s="26" cm="1">
        <f t="array" ref="J479">INDEX(Таблица1[Количество клиентов],MATCH(1,(Таблица1[Дата]=Лист1!A479)*(Таблица1[Территория]=Лист1!C479),0))</f>
        <v>11448</v>
      </c>
    </row>
    <row r="480" spans="1:10" x14ac:dyDescent="0.3">
      <c r="A480" s="13">
        <v>43962</v>
      </c>
      <c r="B480" s="35">
        <f t="shared" si="7"/>
        <v>20</v>
      </c>
      <c r="C480" s="14" t="s">
        <v>9</v>
      </c>
      <c r="D480" s="25">
        <v>175293</v>
      </c>
      <c r="E480" s="28">
        <v>17919144</v>
      </c>
      <c r="F480" s="28">
        <v>12903628.608999999</v>
      </c>
      <c r="G480" s="29">
        <v>355401.60769230768</v>
      </c>
      <c r="H480" s="25" cm="1">
        <f t="array" ref="H480">INDEX(Таблица1[Количество складов],MATCH(1,(Таблица1[Дата]=Лист1!A480)*(Таблица1[Территория]=Лист1!C480),0))</f>
        <v>60</v>
      </c>
      <c r="I480" s="25" cm="1">
        <f t="array" ref="I480">INDEX(Таблица1[Количество заказов],MATCH(1,(Таблица1[Дата]=Лист1!A480)*(Таблица1[Территория]=Лист1!C480),0))</f>
        <v>11100</v>
      </c>
      <c r="J480" s="25" cm="1">
        <f t="array" ref="J480">INDEX(Таблица1[Количество клиентов],MATCH(1,(Таблица1[Дата]=Лист1!A480)*(Таблица1[Территория]=Лист1!C480),0))</f>
        <v>10407</v>
      </c>
    </row>
    <row r="481" spans="1:10" x14ac:dyDescent="0.3">
      <c r="A481" s="15">
        <v>43969</v>
      </c>
      <c r="B481" s="36">
        <f t="shared" si="7"/>
        <v>21</v>
      </c>
      <c r="C481" s="16" t="s">
        <v>9</v>
      </c>
      <c r="D481" s="26">
        <v>201999</v>
      </c>
      <c r="E481" s="30">
        <v>20422435.5</v>
      </c>
      <c r="F481" s="30">
        <v>14541626.939999998</v>
      </c>
      <c r="G481" s="31">
        <v>279597.86153846153</v>
      </c>
      <c r="H481" s="26" cm="1">
        <f t="array" ref="H481">INDEX(Таблица1[Количество складов],MATCH(1,(Таблица1[Дата]=Лист1!A481)*(Таблица1[Территория]=Лист1!C481),0))</f>
        <v>60</v>
      </c>
      <c r="I481" s="26" cm="1">
        <f t="array" ref="I481">INDEX(Таблица1[Количество заказов],MATCH(1,(Таблица1[Дата]=Лист1!A481)*(Таблица1[Территория]=Лист1!C481),0))</f>
        <v>12460</v>
      </c>
      <c r="J481" s="26" cm="1">
        <f t="array" ref="J481">INDEX(Таблица1[Количество клиентов],MATCH(1,(Таблица1[Дата]=Лист1!A481)*(Таблица1[Территория]=Лист1!C481),0))</f>
        <v>11665</v>
      </c>
    </row>
    <row r="482" spans="1:10" x14ac:dyDescent="0.3">
      <c r="A482" s="13">
        <v>43965</v>
      </c>
      <c r="B482" s="35">
        <f t="shared" si="7"/>
        <v>20</v>
      </c>
      <c r="C482" s="14" t="s">
        <v>9</v>
      </c>
      <c r="D482" s="25">
        <v>197946</v>
      </c>
      <c r="E482" s="28">
        <v>19942435.5</v>
      </c>
      <c r="F482" s="28">
        <v>14561721.772999998</v>
      </c>
      <c r="G482" s="29">
        <v>363750.55692307692</v>
      </c>
      <c r="H482" s="25" cm="1">
        <f t="array" ref="H482">INDEX(Таблица1[Количество складов],MATCH(1,(Таблица1[Дата]=Лист1!A482)*(Таблица1[Территория]=Лист1!C482),0))</f>
        <v>60</v>
      </c>
      <c r="I482" s="25" cm="1">
        <f t="array" ref="I482">INDEX(Таблица1[Количество заказов],MATCH(1,(Таблица1[Дата]=Лист1!A482)*(Таблица1[Территория]=Лист1!C482),0))</f>
        <v>11935</v>
      </c>
      <c r="J482" s="25" cm="1">
        <f t="array" ref="J482">INDEX(Таблица1[Количество клиентов],MATCH(1,(Таблица1[Дата]=Лист1!A482)*(Таблица1[Территория]=Лист1!C482),0))</f>
        <v>11178</v>
      </c>
    </row>
    <row r="483" spans="1:10" x14ac:dyDescent="0.3">
      <c r="A483" s="15">
        <v>43966</v>
      </c>
      <c r="B483" s="36">
        <f t="shared" si="7"/>
        <v>20</v>
      </c>
      <c r="C483" s="16" t="s">
        <v>9</v>
      </c>
      <c r="D483" s="26">
        <v>230896.5</v>
      </c>
      <c r="E483" s="30">
        <v>23085222</v>
      </c>
      <c r="F483" s="30">
        <v>17099721.813000001</v>
      </c>
      <c r="G483" s="31">
        <v>329754.63076923077</v>
      </c>
      <c r="H483" s="26" cm="1">
        <f t="array" ref="H483">INDEX(Таблица1[Количество складов],MATCH(1,(Таблица1[Дата]=Лист1!A483)*(Таблица1[Территория]=Лист1!C483),0))</f>
        <v>60</v>
      </c>
      <c r="I483" s="26" cm="1">
        <f t="array" ref="I483">INDEX(Таблица1[Количество заказов],MATCH(1,(Таблица1[Дата]=Лист1!A483)*(Таблица1[Территория]=Лист1!C483),0))</f>
        <v>13544</v>
      </c>
      <c r="J483" s="26" cm="1">
        <f t="array" ref="J483">INDEX(Таблица1[Количество клиентов],MATCH(1,(Таблица1[Дата]=Лист1!A483)*(Таблица1[Территория]=Лист1!C483),0))</f>
        <v>12643</v>
      </c>
    </row>
    <row r="484" spans="1:10" x14ac:dyDescent="0.3">
      <c r="A484" s="13">
        <v>43978</v>
      </c>
      <c r="B484" s="35">
        <f t="shared" si="7"/>
        <v>22</v>
      </c>
      <c r="C484" s="14" t="s">
        <v>8</v>
      </c>
      <c r="D484" s="25">
        <v>203532</v>
      </c>
      <c r="E484" s="28">
        <v>20953324.5</v>
      </c>
      <c r="F484" s="28">
        <v>15301120.521000002</v>
      </c>
      <c r="G484" s="29">
        <v>356339.00384615385</v>
      </c>
      <c r="H484" s="25" cm="1">
        <f t="array" ref="H484">INDEX(Таблица1[Количество складов],MATCH(1,(Таблица1[Дата]=Лист1!A484)*(Таблица1[Территория]=Лист1!C484),0))</f>
        <v>54</v>
      </c>
      <c r="I484" s="25" cm="1">
        <f t="array" ref="I484">INDEX(Таблица1[Количество заказов],MATCH(1,(Таблица1[Дата]=Лист1!A484)*(Таблица1[Территория]=Лист1!C484),0))</f>
        <v>13091</v>
      </c>
      <c r="J484" s="25" cm="1">
        <f t="array" ref="J484">INDEX(Таблица1[Количество клиентов],MATCH(1,(Таблица1[Дата]=Лист1!A484)*(Таблица1[Территория]=Лист1!C484),0))</f>
        <v>12216</v>
      </c>
    </row>
    <row r="485" spans="1:10" x14ac:dyDescent="0.3">
      <c r="A485" s="15">
        <v>43973</v>
      </c>
      <c r="B485" s="36">
        <f t="shared" si="7"/>
        <v>21</v>
      </c>
      <c r="C485" s="16" t="s">
        <v>8</v>
      </c>
      <c r="D485" s="26">
        <v>214428</v>
      </c>
      <c r="E485" s="30">
        <v>20812585.5</v>
      </c>
      <c r="F485" s="30">
        <v>15857489.721000001</v>
      </c>
      <c r="G485" s="31">
        <v>256649.16153846151</v>
      </c>
      <c r="H485" s="26" cm="1">
        <f t="array" ref="H485">INDEX(Таблица1[Количество складов],MATCH(1,(Таблица1[Дата]=Лист1!A485)*(Таблица1[Территория]=Лист1!C485),0))</f>
        <v>54</v>
      </c>
      <c r="I485" s="26" cm="1">
        <f t="array" ref="I485">INDEX(Таблица1[Количество заказов],MATCH(1,(Таблица1[Дата]=Лист1!A485)*(Таблица1[Территория]=Лист1!C485),0))</f>
        <v>13014</v>
      </c>
      <c r="J485" s="26" cm="1">
        <f t="array" ref="J485">INDEX(Таблица1[Количество клиентов],MATCH(1,(Таблица1[Дата]=Лист1!A485)*(Таблица1[Территория]=Лист1!C485),0))</f>
        <v>12095</v>
      </c>
    </row>
    <row r="486" spans="1:10" x14ac:dyDescent="0.3">
      <c r="A486" s="13">
        <v>43983</v>
      </c>
      <c r="B486" s="35">
        <f t="shared" si="7"/>
        <v>23</v>
      </c>
      <c r="C486" s="14" t="s">
        <v>8</v>
      </c>
      <c r="D486" s="25">
        <v>183228</v>
      </c>
      <c r="E486" s="28">
        <v>18914194.5</v>
      </c>
      <c r="F486" s="28">
        <v>13959979.012</v>
      </c>
      <c r="G486" s="29">
        <v>464232.54846153839</v>
      </c>
      <c r="H486" s="25" cm="1">
        <f t="array" ref="H486">INDEX(Таблица1[Количество складов],MATCH(1,(Таблица1[Дата]=Лист1!A486)*(Таблица1[Территория]=Лист1!C486),0))</f>
        <v>54</v>
      </c>
      <c r="I486" s="25" cm="1">
        <f t="array" ref="I486">INDEX(Таблица1[Количество заказов],MATCH(1,(Таблица1[Дата]=Лист1!A486)*(Таблица1[Территория]=Лист1!C486),0))</f>
        <v>11864</v>
      </c>
      <c r="J486" s="25" cm="1">
        <f t="array" ref="J486">INDEX(Таблица1[Количество клиентов],MATCH(1,(Таблица1[Дата]=Лист1!A486)*(Таблица1[Территория]=Лист1!C486),0))</f>
        <v>11071</v>
      </c>
    </row>
    <row r="487" spans="1:10" x14ac:dyDescent="0.3">
      <c r="A487" s="15">
        <v>43962</v>
      </c>
      <c r="B487" s="36">
        <f t="shared" si="7"/>
        <v>20</v>
      </c>
      <c r="C487" s="16" t="s">
        <v>8</v>
      </c>
      <c r="D487" s="26">
        <v>166948.5</v>
      </c>
      <c r="E487" s="30">
        <v>16971231</v>
      </c>
      <c r="F487" s="30">
        <v>12200989.641000001</v>
      </c>
      <c r="G487" s="31">
        <v>416475.07692307688</v>
      </c>
      <c r="H487" s="26" cm="1">
        <f t="array" ref="H487">INDEX(Таблица1[Количество складов],MATCH(1,(Таблица1[Дата]=Лист1!A487)*(Таблица1[Территория]=Лист1!C487),0))</f>
        <v>54</v>
      </c>
      <c r="I487" s="26" cm="1">
        <f t="array" ref="I487">INDEX(Таблица1[Количество заказов],MATCH(1,(Таблица1[Дата]=Лист1!A487)*(Таблица1[Территория]=Лист1!C487),0))</f>
        <v>10570</v>
      </c>
      <c r="J487" s="26" cm="1">
        <f t="array" ref="J487">INDEX(Таблица1[Количество клиентов],MATCH(1,(Таблица1[Дата]=Лист1!A487)*(Таблица1[Территория]=Лист1!C487),0))</f>
        <v>9926</v>
      </c>
    </row>
    <row r="488" spans="1:10" x14ac:dyDescent="0.3">
      <c r="A488" s="13">
        <v>43980</v>
      </c>
      <c r="B488" s="35">
        <f t="shared" si="7"/>
        <v>22</v>
      </c>
      <c r="C488" s="14" t="s">
        <v>9</v>
      </c>
      <c r="D488" s="25">
        <v>232102.5</v>
      </c>
      <c r="E488" s="28">
        <v>23120443.5</v>
      </c>
      <c r="F488" s="28">
        <v>17632080.519000001</v>
      </c>
      <c r="G488" s="29">
        <v>331721.66923076921</v>
      </c>
      <c r="H488" s="25" cm="1">
        <f t="array" ref="H488">INDEX(Таблица1[Количество складов],MATCH(1,(Таблица1[Дата]=Лист1!A488)*(Таблица1[Территория]=Лист1!C488),0))</f>
        <v>59</v>
      </c>
      <c r="I488" s="25" cm="1">
        <f t="array" ref="I488">INDEX(Таблица1[Количество заказов],MATCH(1,(Таблица1[Дата]=Лист1!A488)*(Таблица1[Территория]=Лист1!C488),0))</f>
        <v>14507</v>
      </c>
      <c r="J488" s="25" cm="1">
        <f t="array" ref="J488">INDEX(Таблица1[Количество клиентов],MATCH(1,(Таблица1[Дата]=Лист1!A488)*(Таблица1[Территория]=Лист1!C488),0))</f>
        <v>13386</v>
      </c>
    </row>
    <row r="489" spans="1:10" x14ac:dyDescent="0.3">
      <c r="A489" s="15">
        <v>43969</v>
      </c>
      <c r="B489" s="36">
        <f t="shared" si="7"/>
        <v>21</v>
      </c>
      <c r="C489" s="16" t="s">
        <v>8</v>
      </c>
      <c r="D489" s="26">
        <v>196560</v>
      </c>
      <c r="E489" s="30">
        <v>19855122</v>
      </c>
      <c r="F489" s="30">
        <v>14172342.450999999</v>
      </c>
      <c r="G489" s="31">
        <v>269626.30769230769</v>
      </c>
      <c r="H489" s="26" cm="1">
        <f t="array" ref="H489">INDEX(Таблица1[Количество складов],MATCH(1,(Таблица1[Дата]=Лист1!A489)*(Таблица1[Территория]=Лист1!C489),0))</f>
        <v>54</v>
      </c>
      <c r="I489" s="26" cm="1">
        <f t="array" ref="I489">INDEX(Таблица1[Количество заказов],MATCH(1,(Таблица1[Дата]=Лист1!A489)*(Таблица1[Территория]=Лист1!C489),0))</f>
        <v>12012</v>
      </c>
      <c r="J489" s="26" cm="1">
        <f t="array" ref="J489">INDEX(Таблица1[Количество клиентов],MATCH(1,(Таблица1[Дата]=Лист1!A489)*(Таблица1[Территория]=Лист1!C489),0))</f>
        <v>11308</v>
      </c>
    </row>
    <row r="490" spans="1:10" x14ac:dyDescent="0.3">
      <c r="A490" s="13">
        <v>43965</v>
      </c>
      <c r="B490" s="35">
        <f t="shared" si="7"/>
        <v>20</v>
      </c>
      <c r="C490" s="14" t="s">
        <v>8</v>
      </c>
      <c r="D490" s="25">
        <v>186496.5</v>
      </c>
      <c r="E490" s="28">
        <v>18640998</v>
      </c>
      <c r="F490" s="28">
        <v>13641908.620999999</v>
      </c>
      <c r="G490" s="29">
        <v>364896.93846153846</v>
      </c>
      <c r="H490" s="25" cm="1">
        <f t="array" ref="H490">INDEX(Таблица1[Количество складов],MATCH(1,(Таблица1[Дата]=Лист1!A490)*(Таблица1[Территория]=Лист1!C490),0))</f>
        <v>54</v>
      </c>
      <c r="I490" s="25" cm="1">
        <f t="array" ref="I490">INDEX(Таблица1[Количество заказов],MATCH(1,(Таблица1[Дата]=Лист1!A490)*(Таблица1[Территория]=Лист1!C490),0))</f>
        <v>11194</v>
      </c>
      <c r="J490" s="25" cm="1">
        <f t="array" ref="J490">INDEX(Таблица1[Количество клиентов],MATCH(1,(Таблица1[Дата]=Лист1!A490)*(Таблица1[Территория]=Лист1!C490),0))</f>
        <v>10554</v>
      </c>
    </row>
    <row r="491" spans="1:10" x14ac:dyDescent="0.3">
      <c r="A491" s="15">
        <v>43966</v>
      </c>
      <c r="B491" s="36">
        <f t="shared" si="7"/>
        <v>20</v>
      </c>
      <c r="C491" s="16" t="s">
        <v>8</v>
      </c>
      <c r="D491" s="26">
        <v>219772.5</v>
      </c>
      <c r="E491" s="30">
        <v>21895294.5</v>
      </c>
      <c r="F491" s="30">
        <v>16241999.308</v>
      </c>
      <c r="G491" s="31">
        <v>317179.04615384614</v>
      </c>
      <c r="H491" s="26" cm="1">
        <f t="array" ref="H491">INDEX(Таблица1[Количество складов],MATCH(1,(Таблица1[Дата]=Лист1!A491)*(Таблица1[Территория]=Лист1!C491),0))</f>
        <v>54</v>
      </c>
      <c r="I491" s="26" cm="1">
        <f t="array" ref="I491">INDEX(Таблица1[Количество заказов],MATCH(1,(Таблица1[Дата]=Лист1!A491)*(Таблица1[Территория]=Лист1!C491),0))</f>
        <v>12791</v>
      </c>
      <c r="J491" s="26" cm="1">
        <f t="array" ref="J491">INDEX(Таблица1[Количество клиентов],MATCH(1,(Таблица1[Дата]=Лист1!A491)*(Таблица1[Территория]=Лист1!C491),0))</f>
        <v>11950</v>
      </c>
    </row>
    <row r="492" spans="1:10" x14ac:dyDescent="0.3">
      <c r="A492" s="13">
        <v>43980</v>
      </c>
      <c r="B492" s="35">
        <f t="shared" si="7"/>
        <v>22</v>
      </c>
      <c r="C492" s="14" t="s">
        <v>8</v>
      </c>
      <c r="D492" s="25">
        <v>226476</v>
      </c>
      <c r="E492" s="28">
        <v>22416151.5</v>
      </c>
      <c r="F492" s="28">
        <v>17175270.221000001</v>
      </c>
      <c r="G492" s="29">
        <v>306548.18846153846</v>
      </c>
      <c r="H492" s="25" cm="1">
        <f t="array" ref="H492">INDEX(Таблица1[Количество складов],MATCH(1,(Таблица1[Дата]=Лист1!A492)*(Таблица1[Территория]=Лист1!C492),0))</f>
        <v>54</v>
      </c>
      <c r="I492" s="25" cm="1">
        <f t="array" ref="I492">INDEX(Таблица1[Количество заказов],MATCH(1,(Таблица1[Дата]=Лист1!A492)*(Таблица1[Территория]=Лист1!C492),0))</f>
        <v>14031</v>
      </c>
      <c r="J492" s="25" cm="1">
        <f t="array" ref="J492">INDEX(Таблица1[Количество клиентов],MATCH(1,(Таблица1[Дата]=Лист1!A492)*(Таблица1[Территория]=Лист1!C492),0))</f>
        <v>12943</v>
      </c>
    </row>
    <row r="493" spans="1:10" x14ac:dyDescent="0.3">
      <c r="A493" s="15">
        <v>43978</v>
      </c>
      <c r="B493" s="36">
        <f t="shared" si="7"/>
        <v>22</v>
      </c>
      <c r="C493" s="16" t="s">
        <v>18</v>
      </c>
      <c r="D493" s="26">
        <v>8362.5</v>
      </c>
      <c r="E493" s="30">
        <v>687684</v>
      </c>
      <c r="F493" s="30">
        <v>597300.38899999997</v>
      </c>
      <c r="G493" s="31">
        <v>48380.499253846152</v>
      </c>
      <c r="H493" s="26" cm="1">
        <f t="array" ref="H493">INDEX(Таблица1[Количество складов],MATCH(1,(Таблица1[Дата]=Лист1!A493)*(Таблица1[Территория]=Лист1!C493),0))</f>
        <v>7</v>
      </c>
      <c r="I493" s="26" cm="1">
        <f t="array" ref="I493">INDEX(Таблица1[Количество заказов],MATCH(1,(Таблица1[Дата]=Лист1!A493)*(Таблица1[Территория]=Лист1!C493),0))</f>
        <v>409</v>
      </c>
      <c r="J493" s="26" cm="1">
        <f t="array" ref="J493">INDEX(Таблица1[Количество клиентов],MATCH(1,(Таблица1[Дата]=Лист1!A493)*(Таблица1[Территория]=Лист1!C493),0))</f>
        <v>329</v>
      </c>
    </row>
    <row r="494" spans="1:10" x14ac:dyDescent="0.3">
      <c r="A494" s="13">
        <v>43973</v>
      </c>
      <c r="B494" s="35">
        <f t="shared" si="7"/>
        <v>21</v>
      </c>
      <c r="C494" s="14" t="s">
        <v>11</v>
      </c>
      <c r="D494" s="25">
        <v>17008.5</v>
      </c>
      <c r="E494" s="28">
        <v>1398771</v>
      </c>
      <c r="F494" s="28">
        <v>1144986.3970000001</v>
      </c>
      <c r="G494" s="29">
        <v>158820.4117</v>
      </c>
      <c r="H494" s="25" cm="1">
        <f t="array" ref="H494">INDEX(Таблица1[Количество складов],MATCH(1,(Таблица1[Дата]=Лист1!A494)*(Таблица1[Территория]=Лист1!C494),0))</f>
        <v>18</v>
      </c>
      <c r="I494" s="25" cm="1">
        <f t="array" ref="I494">INDEX(Таблица1[Количество заказов],MATCH(1,(Таблица1[Дата]=Лист1!A494)*(Таблица1[Территория]=Лист1!C494),0))</f>
        <v>985</v>
      </c>
      <c r="J494" s="25" cm="1">
        <f t="array" ref="J494">INDEX(Таблица1[Количество клиентов],MATCH(1,(Таблица1[Дата]=Лист1!A494)*(Таблица1[Территория]=Лист1!C494),0))</f>
        <v>861</v>
      </c>
    </row>
    <row r="495" spans="1:10" x14ac:dyDescent="0.3">
      <c r="A495" s="15">
        <v>43983</v>
      </c>
      <c r="B495" s="36">
        <f t="shared" si="7"/>
        <v>23</v>
      </c>
      <c r="C495" s="16" t="s">
        <v>20</v>
      </c>
      <c r="D495" s="26">
        <v>5166</v>
      </c>
      <c r="E495" s="30">
        <v>389013</v>
      </c>
      <c r="F495" s="30">
        <v>357353.07299999997</v>
      </c>
      <c r="G495" s="31">
        <v>141592.70844615385</v>
      </c>
      <c r="H495" s="26" cm="1">
        <f t="array" ref="H495">INDEX(Таблица1[Количество складов],MATCH(1,(Таблица1[Дата]=Лист1!A495)*(Таблица1[Территория]=Лист1!C495),0))</f>
        <v>9</v>
      </c>
      <c r="I495" s="26" cm="1">
        <f t="array" ref="I495">INDEX(Таблица1[Количество заказов],MATCH(1,(Таблица1[Дата]=Лист1!A495)*(Таблица1[Территория]=Лист1!C495),0))</f>
        <v>294</v>
      </c>
      <c r="J495" s="26" cm="1">
        <f t="array" ref="J495">INDEX(Таблица1[Количество клиентов],MATCH(1,(Таблица1[Дата]=Лист1!A495)*(Таблица1[Территория]=Лист1!C495),0))</f>
        <v>224</v>
      </c>
    </row>
    <row r="496" spans="1:10" x14ac:dyDescent="0.3">
      <c r="A496" s="13">
        <v>43962</v>
      </c>
      <c r="B496" s="35">
        <f t="shared" si="7"/>
        <v>20</v>
      </c>
      <c r="C496" s="14" t="s">
        <v>11</v>
      </c>
      <c r="D496" s="25">
        <v>10941</v>
      </c>
      <c r="E496" s="28">
        <v>880356</v>
      </c>
      <c r="F496" s="28">
        <v>723289.05500000005</v>
      </c>
      <c r="G496" s="29">
        <v>166333.57363076921</v>
      </c>
      <c r="H496" s="25" cm="1">
        <f t="array" ref="H496">INDEX(Таблица1[Количество складов],MATCH(1,(Таблица1[Дата]=Лист1!A496)*(Таблица1[Территория]=Лист1!C496),0))</f>
        <v>15</v>
      </c>
      <c r="I496" s="25" cm="1">
        <f t="array" ref="I496">INDEX(Таблица1[Количество заказов],MATCH(1,(Таблица1[Дата]=Лист1!A496)*(Таблица1[Территория]=Лист1!C496),0))</f>
        <v>654</v>
      </c>
      <c r="J496" s="25" cm="1">
        <f t="array" ref="J496">INDEX(Таблица1[Количество клиентов],MATCH(1,(Таблица1[Дата]=Лист1!A496)*(Таблица1[Территория]=Лист1!C496),0))</f>
        <v>564</v>
      </c>
    </row>
    <row r="497" spans="1:10" x14ac:dyDescent="0.3">
      <c r="A497" s="15">
        <v>43969</v>
      </c>
      <c r="B497" s="36">
        <f t="shared" si="7"/>
        <v>21</v>
      </c>
      <c r="C497" s="16" t="s">
        <v>11</v>
      </c>
      <c r="D497" s="26">
        <v>14497.5</v>
      </c>
      <c r="E497" s="30">
        <v>1230711</v>
      </c>
      <c r="F497" s="30">
        <v>1005560.455</v>
      </c>
      <c r="G497" s="31">
        <v>171097.83406153845</v>
      </c>
      <c r="H497" s="26" cm="1">
        <f t="array" ref="H497">INDEX(Таблица1[Количество складов],MATCH(1,(Таблица1[Дата]=Лист1!A497)*(Таблица1[Территория]=Лист1!C497),0))</f>
        <v>16</v>
      </c>
      <c r="I497" s="26" cm="1">
        <f t="array" ref="I497">INDEX(Таблица1[Количество заказов],MATCH(1,(Таблица1[Дата]=Лист1!A497)*(Таблица1[Территория]=Лист1!C497),0))</f>
        <v>864</v>
      </c>
      <c r="J497" s="26" cm="1">
        <f t="array" ref="J497">INDEX(Таблица1[Количество клиентов],MATCH(1,(Таблица1[Дата]=Лист1!A497)*(Таблица1[Территория]=Лист1!C497),0))</f>
        <v>765</v>
      </c>
    </row>
    <row r="498" spans="1:10" x14ac:dyDescent="0.3">
      <c r="A498" s="13">
        <v>43965</v>
      </c>
      <c r="B498" s="35">
        <f t="shared" si="7"/>
        <v>20</v>
      </c>
      <c r="C498" s="14" t="s">
        <v>11</v>
      </c>
      <c r="D498" s="25">
        <v>13810.5</v>
      </c>
      <c r="E498" s="28">
        <v>1131676.5</v>
      </c>
      <c r="F498" s="28">
        <v>966968.63599999994</v>
      </c>
      <c r="G498" s="29">
        <v>195740.02307692307</v>
      </c>
      <c r="H498" s="25" cm="1">
        <f t="array" ref="H498">INDEX(Таблица1[Количество складов],MATCH(1,(Таблица1[Дата]=Лист1!A498)*(Таблица1[Территория]=Лист1!C498),0))</f>
        <v>16</v>
      </c>
      <c r="I498" s="25" cm="1">
        <f t="array" ref="I498">INDEX(Таблица1[Количество заказов],MATCH(1,(Таблица1[Дата]=Лист1!A498)*(Таблица1[Территория]=Лист1!C498),0))</f>
        <v>834</v>
      </c>
      <c r="J498" s="25" cm="1">
        <f t="array" ref="J498">INDEX(Таблица1[Количество клиентов],MATCH(1,(Таблица1[Дата]=Лист1!A498)*(Таблица1[Территория]=Лист1!C498),0))</f>
        <v>735</v>
      </c>
    </row>
    <row r="499" spans="1:10" x14ac:dyDescent="0.3">
      <c r="A499" s="15">
        <v>43966</v>
      </c>
      <c r="B499" s="36">
        <f t="shared" si="7"/>
        <v>20</v>
      </c>
      <c r="C499" s="16" t="s">
        <v>11</v>
      </c>
      <c r="D499" s="26">
        <v>13752</v>
      </c>
      <c r="E499" s="30">
        <v>1091040</v>
      </c>
      <c r="F499" s="30">
        <v>898790.64599999995</v>
      </c>
      <c r="G499" s="31">
        <v>149313.46028461537</v>
      </c>
      <c r="H499" s="26" cm="1">
        <f t="array" ref="H499">INDEX(Таблица1[Количество складов],MATCH(1,(Таблица1[Дата]=Лист1!A499)*(Таблица1[Территория]=Лист1!C499),0))</f>
        <v>16</v>
      </c>
      <c r="I499" s="26" cm="1">
        <f t="array" ref="I499">INDEX(Таблица1[Количество заказов],MATCH(1,(Таблица1[Дата]=Лист1!A499)*(Таблица1[Территория]=Лист1!C499),0))</f>
        <v>817</v>
      </c>
      <c r="J499" s="26" cm="1">
        <f t="array" ref="J499">INDEX(Таблица1[Количество клиентов],MATCH(1,(Таблица1[Дата]=Лист1!A499)*(Таблица1[Территория]=Лист1!C499),0))</f>
        <v>718</v>
      </c>
    </row>
    <row r="500" spans="1:10" x14ac:dyDescent="0.3">
      <c r="A500" s="13">
        <v>43978</v>
      </c>
      <c r="B500" s="35">
        <f t="shared" si="7"/>
        <v>22</v>
      </c>
      <c r="C500" s="14" t="s">
        <v>11</v>
      </c>
      <c r="D500" s="25">
        <v>15276</v>
      </c>
      <c r="E500" s="28">
        <v>1350199.5</v>
      </c>
      <c r="F500" s="28">
        <v>1100106.21</v>
      </c>
      <c r="G500" s="29">
        <v>107692.85196923077</v>
      </c>
      <c r="H500" s="25" cm="1">
        <f t="array" ref="H500">INDEX(Таблица1[Количество складов],MATCH(1,(Таблица1[Дата]=Лист1!A500)*(Таблица1[Территория]=Лист1!C500),0))</f>
        <v>18</v>
      </c>
      <c r="I500" s="25" cm="1">
        <f t="array" ref="I500">INDEX(Таблица1[Количество заказов],MATCH(1,(Таблица1[Дата]=Лист1!A500)*(Таблица1[Территория]=Лист1!C500),0))</f>
        <v>962</v>
      </c>
      <c r="J500" s="25" cm="1">
        <f t="array" ref="J500">INDEX(Таблица1[Количество клиентов],MATCH(1,(Таблица1[Дата]=Лист1!A500)*(Таблица1[Территория]=Лист1!C500),0))</f>
        <v>859</v>
      </c>
    </row>
    <row r="501" spans="1:10" x14ac:dyDescent="0.3">
      <c r="A501" s="15">
        <v>43983</v>
      </c>
      <c r="B501" s="36">
        <f t="shared" si="7"/>
        <v>23</v>
      </c>
      <c r="C501" s="16" t="s">
        <v>17</v>
      </c>
      <c r="D501" s="26">
        <v>4408.5</v>
      </c>
      <c r="E501" s="30">
        <v>410892</v>
      </c>
      <c r="F501" s="30">
        <v>346029.05</v>
      </c>
      <c r="G501" s="31">
        <v>36168.753846153842</v>
      </c>
      <c r="H501" s="26" cm="1">
        <f t="array" ref="H501">INDEX(Таблица1[Количество складов],MATCH(1,(Таблица1[Дата]=Лист1!A501)*(Таблица1[Территория]=Лист1!C501),0))</f>
        <v>6</v>
      </c>
      <c r="I501" s="26" cm="1">
        <f t="array" ref="I501">INDEX(Таблица1[Количество заказов],MATCH(1,(Таблица1[Дата]=Лист1!A501)*(Таблица1[Территория]=Лист1!C501),0))</f>
        <v>237</v>
      </c>
      <c r="J501" s="26" cm="1">
        <f t="array" ref="J501">INDEX(Таблица1[Количество клиентов],MATCH(1,(Таблица1[Дата]=Лист1!A501)*(Таблица1[Территория]=Лист1!C501),0))</f>
        <v>175</v>
      </c>
    </row>
    <row r="502" spans="1:10" x14ac:dyDescent="0.3">
      <c r="A502" s="13">
        <v>43980</v>
      </c>
      <c r="B502" s="35">
        <f t="shared" si="7"/>
        <v>22</v>
      </c>
      <c r="C502" s="14" t="s">
        <v>18</v>
      </c>
      <c r="D502" s="25">
        <v>9927</v>
      </c>
      <c r="E502" s="28">
        <v>850840.5</v>
      </c>
      <c r="F502" s="28">
        <v>733232.38899999997</v>
      </c>
      <c r="G502" s="29">
        <v>51066.353846153841</v>
      </c>
      <c r="H502" s="25" cm="1">
        <f t="array" ref="H502">INDEX(Таблица1[Количество складов],MATCH(1,(Таблица1[Дата]=Лист1!A502)*(Таблица1[Территория]=Лист1!C502),0))</f>
        <v>7</v>
      </c>
      <c r="I502" s="25" cm="1">
        <f t="array" ref="I502">INDEX(Таблица1[Количество заказов],MATCH(1,(Таблица1[Дата]=Лист1!A502)*(Таблица1[Территория]=Лист1!C502),0))</f>
        <v>491</v>
      </c>
      <c r="J502" s="25" cm="1">
        <f t="array" ref="J502">INDEX(Таблица1[Количество клиентов],MATCH(1,(Таблица1[Дата]=Лист1!A502)*(Таблица1[Территория]=Лист1!C502),0))</f>
        <v>411</v>
      </c>
    </row>
    <row r="503" spans="1:10" x14ac:dyDescent="0.3">
      <c r="A503" s="15">
        <v>43983</v>
      </c>
      <c r="B503" s="36">
        <f t="shared" si="7"/>
        <v>23</v>
      </c>
      <c r="C503" s="16" t="s">
        <v>18</v>
      </c>
      <c r="D503" s="26">
        <v>9474</v>
      </c>
      <c r="E503" s="30">
        <v>802447.5</v>
      </c>
      <c r="F503" s="30">
        <v>682814.14599999995</v>
      </c>
      <c r="G503" s="31">
        <v>81560.983369230773</v>
      </c>
      <c r="H503" s="26" cm="1">
        <f t="array" ref="H503">INDEX(Таблица1[Количество складов],MATCH(1,(Таблица1[Дата]=Лист1!A503)*(Таблица1[Территория]=Лист1!C503),0))</f>
        <v>7</v>
      </c>
      <c r="I503" s="26" cm="1">
        <f t="array" ref="I503">INDEX(Таблица1[Количество заказов],MATCH(1,(Таблица1[Дата]=Лист1!A503)*(Таблица1[Территория]=Лист1!C503),0))</f>
        <v>500</v>
      </c>
      <c r="J503" s="26" cm="1">
        <f t="array" ref="J503">INDEX(Таблица1[Количество клиентов],MATCH(1,(Таблица1[Дата]=Лист1!A503)*(Таблица1[Территория]=Лист1!C503),0))</f>
        <v>418</v>
      </c>
    </row>
    <row r="504" spans="1:10" x14ac:dyDescent="0.3">
      <c r="A504" s="13">
        <v>43980</v>
      </c>
      <c r="B504" s="35">
        <f t="shared" si="7"/>
        <v>22</v>
      </c>
      <c r="C504" s="14" t="s">
        <v>11</v>
      </c>
      <c r="D504" s="25">
        <v>16878</v>
      </c>
      <c r="E504" s="28">
        <v>1438255.5</v>
      </c>
      <c r="F504" s="28">
        <v>1180692.7039999999</v>
      </c>
      <c r="G504" s="29">
        <v>102040.10621538461</v>
      </c>
      <c r="H504" s="25" cm="1">
        <f t="array" ref="H504">INDEX(Таблица1[Количество складов],MATCH(1,(Таблица1[Дата]=Лист1!A504)*(Таблица1[Территория]=Лист1!C504),0))</f>
        <v>18</v>
      </c>
      <c r="I504" s="25" cm="1">
        <f t="array" ref="I504">INDEX(Таблица1[Количество заказов],MATCH(1,(Таблица1[Дата]=Лист1!A504)*(Таблица1[Территория]=Лист1!C504),0))</f>
        <v>1014</v>
      </c>
      <c r="J504" s="25" cm="1">
        <f t="array" ref="J504">INDEX(Таблица1[Количество клиентов],MATCH(1,(Таблица1[Дата]=Лист1!A504)*(Таблица1[Территория]=Лист1!C504),0))</f>
        <v>893</v>
      </c>
    </row>
    <row r="505" spans="1:10" x14ac:dyDescent="0.3">
      <c r="A505" s="17">
        <v>43983</v>
      </c>
      <c r="B505" s="37">
        <f t="shared" si="7"/>
        <v>23</v>
      </c>
      <c r="C505" s="3" t="s">
        <v>11</v>
      </c>
      <c r="D505" s="27">
        <v>14238</v>
      </c>
      <c r="E505" s="32">
        <v>1293219</v>
      </c>
      <c r="F505" s="32">
        <v>1006008.1159999999</v>
      </c>
      <c r="G505" s="33">
        <v>129348.2923076923</v>
      </c>
      <c r="H505" s="27" cm="1">
        <f t="array" ref="H505">INDEX(Таблица1[Количество складов],MATCH(1,(Таблица1[Дата]=Лист1!A505)*(Таблица1[Территория]=Лист1!C505),0))</f>
        <v>18</v>
      </c>
      <c r="I505" s="27" cm="1">
        <f t="array" ref="I505">INDEX(Таблица1[Количество заказов],MATCH(1,(Таблица1[Дата]=Лист1!A505)*(Таблица1[Территория]=Лист1!C505),0))</f>
        <v>923</v>
      </c>
      <c r="J505" s="27" cm="1">
        <f t="array" ref="J505">INDEX(Таблица1[Количество клиентов],MATCH(1,(Таблица1[Дата]=Лист1!A505)*(Таблица1[Территория]=Лист1!C505),0))</f>
        <v>824</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2670E-567B-4A6F-8D7B-C3D632942317}">
  <dimension ref="A1:M114"/>
  <sheetViews>
    <sheetView workbookViewId="0">
      <selection activeCell="N11" sqref="N11"/>
    </sheetView>
  </sheetViews>
  <sheetFormatPr defaultRowHeight="14.4" x14ac:dyDescent="0.3"/>
  <cols>
    <col min="1" max="1" width="19.59765625" bestFit="1" customWidth="1"/>
    <col min="2" max="2" width="12.796875" style="44" bestFit="1" customWidth="1"/>
    <col min="3" max="3" width="14.69921875" style="43" bestFit="1" customWidth="1"/>
    <col min="4" max="4" width="14.09765625" style="43" bestFit="1" customWidth="1"/>
    <col min="5" max="5" width="12.19921875" style="43" bestFit="1" customWidth="1"/>
    <col min="6" max="6" width="11.19921875" bestFit="1" customWidth="1"/>
    <col min="7" max="8" width="10.796875" bestFit="1" customWidth="1"/>
    <col min="9" max="9" width="8.296875" bestFit="1" customWidth="1"/>
    <col min="10" max="10" width="11" bestFit="1" customWidth="1"/>
    <col min="12" max="12" width="11.69921875" bestFit="1" customWidth="1"/>
    <col min="13" max="13" width="20.69921875" bestFit="1" customWidth="1"/>
  </cols>
  <sheetData>
    <row r="1" spans="1:13" x14ac:dyDescent="0.3">
      <c r="A1" s="39" t="s">
        <v>110</v>
      </c>
      <c r="B1" s="51">
        <v>22</v>
      </c>
    </row>
    <row r="2" spans="1:13" x14ac:dyDescent="0.3">
      <c r="L2" s="55" t="s">
        <v>123</v>
      </c>
      <c r="M2" s="55"/>
    </row>
    <row r="3" spans="1:13" ht="47.85" customHeight="1" x14ac:dyDescent="0.3">
      <c r="A3" s="41" t="s">
        <v>1</v>
      </c>
      <c r="B3" s="42" t="s">
        <v>114</v>
      </c>
      <c r="C3" s="42" t="s">
        <v>115</v>
      </c>
      <c r="D3" s="42" t="s">
        <v>116</v>
      </c>
      <c r="E3" s="48" t="s">
        <v>112</v>
      </c>
      <c r="F3" s="42" t="s">
        <v>117</v>
      </c>
      <c r="G3" s="42" t="s">
        <v>118</v>
      </c>
      <c r="H3" s="42" t="s">
        <v>113</v>
      </c>
      <c r="I3" s="47" t="s">
        <v>119</v>
      </c>
      <c r="J3" s="47" t="s">
        <v>120</v>
      </c>
      <c r="L3" s="49" t="s">
        <v>121</v>
      </c>
      <c r="M3" s="49" t="s">
        <v>122</v>
      </c>
    </row>
    <row r="4" spans="1:13" x14ac:dyDescent="0.3">
      <c r="A4" s="40" t="s">
        <v>3</v>
      </c>
      <c r="B4" s="44">
        <v>540592.5</v>
      </c>
      <c r="C4" s="43">
        <v>46485094.5</v>
      </c>
      <c r="D4" s="43">
        <v>36573772.578999996</v>
      </c>
      <c r="E4" s="43">
        <v>1215586.0448769229</v>
      </c>
      <c r="F4" s="44">
        <v>256</v>
      </c>
      <c r="G4" s="44">
        <v>36734</v>
      </c>
      <c r="H4" s="44">
        <v>33925</v>
      </c>
      <c r="I4" s="46">
        <v>0.27099533961369099</v>
      </c>
      <c r="J4" s="46">
        <v>0.21321505372006944</v>
      </c>
      <c r="L4" s="50">
        <f>C4/$C$22</f>
        <v>4.4034424282711378E-2</v>
      </c>
      <c r="M4" s="43">
        <f>C4/F4</f>
        <v>181582.400390625</v>
      </c>
    </row>
    <row r="5" spans="1:13" x14ac:dyDescent="0.3">
      <c r="A5" s="40" t="s">
        <v>4</v>
      </c>
      <c r="B5" s="44">
        <v>598485</v>
      </c>
      <c r="C5" s="43">
        <v>50729185.5</v>
      </c>
      <c r="D5" s="43">
        <v>39434704.585000001</v>
      </c>
      <c r="E5" s="43">
        <v>808350.56816153845</v>
      </c>
      <c r="F5" s="44">
        <v>217</v>
      </c>
      <c r="G5" s="44">
        <v>39634</v>
      </c>
      <c r="H5" s="44">
        <v>36856</v>
      </c>
      <c r="I5" s="46">
        <v>0.28640967477403506</v>
      </c>
      <c r="J5" s="46">
        <v>0.22264266227968513</v>
      </c>
      <c r="L5" s="50">
        <f t="shared" ref="L5:L21" si="0">C5/$C$22</f>
        <v>4.8054768993174145E-2</v>
      </c>
      <c r="M5" s="43">
        <f t="shared" ref="M5:M21" si="1">C5/F5</f>
        <v>233775.04838709679</v>
      </c>
    </row>
    <row r="6" spans="1:13" x14ac:dyDescent="0.3">
      <c r="A6" s="40" t="s">
        <v>5</v>
      </c>
      <c r="B6" s="44">
        <v>296626.5</v>
      </c>
      <c r="C6" s="43">
        <v>27495690</v>
      </c>
      <c r="D6" s="43">
        <v>21336710.454999998</v>
      </c>
      <c r="E6" s="43">
        <v>1213933.1096769231</v>
      </c>
      <c r="F6" s="44">
        <v>152</v>
      </c>
      <c r="G6" s="44">
        <v>17544</v>
      </c>
      <c r="H6" s="44">
        <v>16025</v>
      </c>
      <c r="I6" s="46">
        <v>0.28865647110830622</v>
      </c>
      <c r="J6" s="46">
        <v>0.22399799914095633</v>
      </c>
      <c r="L6" s="50">
        <f t="shared" si="0"/>
        <v>2.604613139822496E-2</v>
      </c>
      <c r="M6" s="43">
        <f t="shared" si="1"/>
        <v>180892.69736842104</v>
      </c>
    </row>
    <row r="7" spans="1:13" x14ac:dyDescent="0.3">
      <c r="A7" s="40" t="s">
        <v>6</v>
      </c>
      <c r="B7" s="44">
        <v>249246</v>
      </c>
      <c r="C7" s="43">
        <v>22579281</v>
      </c>
      <c r="D7" s="43">
        <v>18021287.75</v>
      </c>
      <c r="E7" s="43">
        <v>1857393.9804</v>
      </c>
      <c r="F7" s="44">
        <v>141</v>
      </c>
      <c r="G7" s="44">
        <v>15075</v>
      </c>
      <c r="H7" s="44">
        <v>13784</v>
      </c>
      <c r="I7" s="46">
        <v>0.25292272745603323</v>
      </c>
      <c r="J7" s="46">
        <v>0.20186618209853538</v>
      </c>
      <c r="L7" s="50">
        <f t="shared" si="0"/>
        <v>2.1388912946117892E-2</v>
      </c>
      <c r="M7" s="43">
        <f t="shared" si="1"/>
        <v>160136.74468085106</v>
      </c>
    </row>
    <row r="8" spans="1:13" x14ac:dyDescent="0.3">
      <c r="A8" s="40" t="s">
        <v>7</v>
      </c>
      <c r="B8" s="44">
        <v>210733.5</v>
      </c>
      <c r="C8" s="43">
        <v>18595773</v>
      </c>
      <c r="D8" s="43">
        <v>14841990.300999999</v>
      </c>
      <c r="E8" s="43">
        <v>677023.78522307693</v>
      </c>
      <c r="F8" s="44">
        <v>141</v>
      </c>
      <c r="G8" s="44">
        <v>13755</v>
      </c>
      <c r="H8" s="44">
        <v>12541</v>
      </c>
      <c r="I8" s="46">
        <v>0.25291639617545664</v>
      </c>
      <c r="J8" s="46">
        <v>0.20186214894105239</v>
      </c>
      <c r="L8" s="50">
        <f t="shared" si="0"/>
        <v>1.761541343423511E-2</v>
      </c>
      <c r="M8" s="43">
        <f t="shared" si="1"/>
        <v>131884.91489361701</v>
      </c>
    </row>
    <row r="9" spans="1:13" x14ac:dyDescent="0.3">
      <c r="A9" s="40" t="s">
        <v>8</v>
      </c>
      <c r="B9" s="44">
        <v>1498459.5</v>
      </c>
      <c r="C9" s="43">
        <v>151451013</v>
      </c>
      <c r="D9" s="43">
        <v>112710382.72100002</v>
      </c>
      <c r="E9" s="43">
        <v>2011267.8798461538</v>
      </c>
      <c r="F9" s="44">
        <v>378</v>
      </c>
      <c r="G9" s="44">
        <v>94045</v>
      </c>
      <c r="H9" s="44">
        <v>87485</v>
      </c>
      <c r="I9" s="46">
        <v>0.34371838107317415</v>
      </c>
      <c r="J9" s="46">
        <v>0.25579644210765357</v>
      </c>
      <c r="L9" s="50">
        <f t="shared" si="0"/>
        <v>0.14346659367312756</v>
      </c>
      <c r="M9" s="53">
        <f t="shared" si="1"/>
        <v>400664.05555555556</v>
      </c>
    </row>
    <row r="10" spans="1:13" x14ac:dyDescent="0.3">
      <c r="A10" s="40" t="s">
        <v>9</v>
      </c>
      <c r="B10" s="44">
        <v>1552795.5</v>
      </c>
      <c r="C10" s="43">
        <v>157857214.5</v>
      </c>
      <c r="D10" s="43">
        <v>117032371.46499999</v>
      </c>
      <c r="E10" s="43">
        <v>1929112.4076923074</v>
      </c>
      <c r="F10" s="44">
        <v>414</v>
      </c>
      <c r="G10" s="44">
        <v>98369</v>
      </c>
      <c r="H10" s="44">
        <v>91327</v>
      </c>
      <c r="I10" s="46">
        <v>0.34883376730693011</v>
      </c>
      <c r="J10" s="46">
        <v>0.25861879778069952</v>
      </c>
      <c r="L10" s="52">
        <f t="shared" si="0"/>
        <v>0.14953506353267668</v>
      </c>
      <c r="M10" s="53">
        <f t="shared" si="1"/>
        <v>381297.61956521741</v>
      </c>
    </row>
    <row r="11" spans="1:13" x14ac:dyDescent="0.3">
      <c r="A11" s="40" t="s">
        <v>10</v>
      </c>
      <c r="B11" s="44">
        <v>232813.5</v>
      </c>
      <c r="C11" s="43">
        <v>21605704.5</v>
      </c>
      <c r="D11" s="43">
        <v>17167429.888999999</v>
      </c>
      <c r="E11" s="43">
        <v>1168237.7039307691</v>
      </c>
      <c r="F11" s="44">
        <v>140</v>
      </c>
      <c r="G11" s="44">
        <v>14974</v>
      </c>
      <c r="H11" s="44">
        <v>13289</v>
      </c>
      <c r="I11" s="46">
        <v>0.25852877452808581</v>
      </c>
      <c r="J11" s="46">
        <v>0.20542142520740306</v>
      </c>
      <c r="L11" s="50">
        <f t="shared" si="0"/>
        <v>2.0466662897283914E-2</v>
      </c>
      <c r="M11" s="43">
        <f t="shared" si="1"/>
        <v>154326.46071428573</v>
      </c>
    </row>
    <row r="12" spans="1:13" x14ac:dyDescent="0.3">
      <c r="A12" s="40" t="s">
        <v>11</v>
      </c>
      <c r="B12" s="44">
        <v>114889.5</v>
      </c>
      <c r="C12" s="43">
        <v>9909624</v>
      </c>
      <c r="D12" s="43">
        <v>8086120.6179999989</v>
      </c>
      <c r="E12" s="43">
        <v>663214.79429230769</v>
      </c>
      <c r="F12" s="44">
        <v>126</v>
      </c>
      <c r="G12" s="44">
        <v>7144</v>
      </c>
      <c r="H12" s="44">
        <v>6380</v>
      </c>
      <c r="I12" s="46">
        <v>0.22551028708881934</v>
      </c>
      <c r="J12" s="46">
        <v>0.18401337750049862</v>
      </c>
      <c r="L12" s="50">
        <f t="shared" si="0"/>
        <v>9.3871937314904119E-3</v>
      </c>
      <c r="M12" s="43">
        <f t="shared" si="1"/>
        <v>78647.809523809527</v>
      </c>
    </row>
    <row r="13" spans="1:13" x14ac:dyDescent="0.3">
      <c r="A13" s="40" t="s">
        <v>12</v>
      </c>
      <c r="B13" s="44">
        <v>133758</v>
      </c>
      <c r="C13" s="43">
        <v>11902053</v>
      </c>
      <c r="D13" s="43">
        <v>9600312.131000001</v>
      </c>
      <c r="E13" s="43">
        <v>1516859.5838461539</v>
      </c>
      <c r="F13" s="44">
        <v>119</v>
      </c>
      <c r="G13" s="44">
        <v>8761</v>
      </c>
      <c r="H13" s="44">
        <v>7787</v>
      </c>
      <c r="I13" s="46">
        <v>0.2397568784839334</v>
      </c>
      <c r="J13" s="46">
        <v>0.1933902385580033</v>
      </c>
      <c r="L13" s="50">
        <f t="shared" si="0"/>
        <v>1.1274582901779791E-2</v>
      </c>
      <c r="M13" s="43">
        <f t="shared" si="1"/>
        <v>100017.25210084034</v>
      </c>
    </row>
    <row r="14" spans="1:13" x14ac:dyDescent="0.3">
      <c r="A14" s="40" t="s">
        <v>13</v>
      </c>
      <c r="B14" s="44">
        <v>102393</v>
      </c>
      <c r="C14" s="43">
        <v>9328845</v>
      </c>
      <c r="D14" s="43">
        <v>7482668.0309999995</v>
      </c>
      <c r="E14" s="43">
        <v>1225599.9788769232</v>
      </c>
      <c r="F14" s="44">
        <v>109</v>
      </c>
      <c r="G14" s="44">
        <v>6278</v>
      </c>
      <c r="H14" s="44">
        <v>5490</v>
      </c>
      <c r="I14" s="46">
        <v>0.24672709805532742</v>
      </c>
      <c r="J14" s="46">
        <v>0.19789984387134746</v>
      </c>
      <c r="L14" s="50">
        <f t="shared" si="0"/>
        <v>8.8370331009577831E-3</v>
      </c>
      <c r="M14" s="43">
        <f t="shared" si="1"/>
        <v>85585.733944954132</v>
      </c>
    </row>
    <row r="15" spans="1:13" x14ac:dyDescent="0.3">
      <c r="A15" s="40" t="s">
        <v>14</v>
      </c>
      <c r="B15" s="44">
        <v>34860</v>
      </c>
      <c r="C15" s="43">
        <v>2706253.5</v>
      </c>
      <c r="D15" s="43">
        <v>2515464.466</v>
      </c>
      <c r="E15" s="43">
        <v>321104.94968461536</v>
      </c>
      <c r="F15" s="44">
        <v>60</v>
      </c>
      <c r="G15" s="44">
        <v>1795</v>
      </c>
      <c r="H15" s="44">
        <v>1496</v>
      </c>
      <c r="I15" s="46">
        <v>7.5846443700071722E-2</v>
      </c>
      <c r="J15" s="46">
        <v>7.0499320924665779E-2</v>
      </c>
      <c r="L15" s="50">
        <f t="shared" si="0"/>
        <v>2.5635812106517856E-3</v>
      </c>
      <c r="M15" s="43">
        <f t="shared" si="1"/>
        <v>45104.224999999999</v>
      </c>
    </row>
    <row r="16" spans="1:13" x14ac:dyDescent="0.3">
      <c r="A16" s="40" t="s">
        <v>15</v>
      </c>
      <c r="B16" s="44">
        <v>2811513</v>
      </c>
      <c r="C16" s="43">
        <v>292155049.5</v>
      </c>
      <c r="D16" s="43">
        <v>216200382.60500002</v>
      </c>
      <c r="E16" s="43">
        <v>4012887.0277307685</v>
      </c>
      <c r="F16" s="44">
        <v>868</v>
      </c>
      <c r="G16" s="44">
        <v>155308</v>
      </c>
      <c r="H16" s="44">
        <v>144114</v>
      </c>
      <c r="I16" s="46">
        <v>0.35131606142330385</v>
      </c>
      <c r="J16" s="46">
        <v>0.25998067473073055</v>
      </c>
      <c r="L16" s="52">
        <f t="shared" si="0"/>
        <v>0.27675278590687913</v>
      </c>
      <c r="M16" s="53">
        <f t="shared" si="1"/>
        <v>336584.15841013828</v>
      </c>
    </row>
    <row r="17" spans="1:13" x14ac:dyDescent="0.3">
      <c r="A17" s="40" t="s">
        <v>16</v>
      </c>
      <c r="B17" s="44">
        <v>2191185</v>
      </c>
      <c r="C17" s="43">
        <v>219265928.75385001</v>
      </c>
      <c r="D17" s="43">
        <v>164247123.755</v>
      </c>
      <c r="E17" s="43">
        <v>3932115.550715385</v>
      </c>
      <c r="F17" s="44">
        <v>903</v>
      </c>
      <c r="G17" s="44">
        <v>125730</v>
      </c>
      <c r="H17" s="44">
        <v>116798</v>
      </c>
      <c r="I17" s="46">
        <v>0.33497575933761298</v>
      </c>
      <c r="J17" s="46">
        <v>0.25092272799306931</v>
      </c>
      <c r="L17" s="52">
        <f t="shared" si="0"/>
        <v>0.20770634202948207</v>
      </c>
      <c r="M17" s="43">
        <f t="shared" si="1"/>
        <v>242819.41168754155</v>
      </c>
    </row>
    <row r="18" spans="1:13" x14ac:dyDescent="0.3">
      <c r="A18" s="40" t="s">
        <v>19</v>
      </c>
      <c r="B18" s="44">
        <v>91920</v>
      </c>
      <c r="C18" s="43">
        <v>7762362</v>
      </c>
      <c r="D18" s="43">
        <v>6527089.4290000005</v>
      </c>
      <c r="E18" s="43">
        <v>548423.42430000007</v>
      </c>
      <c r="F18" s="44">
        <v>70</v>
      </c>
      <c r="G18" s="44">
        <v>5466</v>
      </c>
      <c r="H18" s="44">
        <v>4788</v>
      </c>
      <c r="I18" s="46">
        <v>0.18925320151301384</v>
      </c>
      <c r="J18" s="46">
        <v>0.15913617156736565</v>
      </c>
      <c r="L18" s="50">
        <f t="shared" si="0"/>
        <v>7.3531342771390095E-3</v>
      </c>
      <c r="M18" s="43">
        <f t="shared" si="1"/>
        <v>110890.88571428572</v>
      </c>
    </row>
    <row r="19" spans="1:13" x14ac:dyDescent="0.3">
      <c r="A19" s="40" t="s">
        <v>20</v>
      </c>
      <c r="B19" s="44">
        <v>6409.5</v>
      </c>
      <c r="C19" s="43">
        <v>493893</v>
      </c>
      <c r="D19" s="43">
        <v>459762.61999999994</v>
      </c>
      <c r="E19" s="43">
        <v>28040.97692307692</v>
      </c>
      <c r="F19" s="44">
        <v>9</v>
      </c>
      <c r="G19" s="44">
        <v>345</v>
      </c>
      <c r="H19" s="44">
        <v>255</v>
      </c>
      <c r="I19" s="46">
        <v>7.4234786638374531E-2</v>
      </c>
      <c r="J19" s="46">
        <v>6.9104806101726618E-2</v>
      </c>
      <c r="L19" s="50">
        <f t="shared" si="0"/>
        <v>4.6785521565974596E-4</v>
      </c>
      <c r="M19" s="43">
        <f t="shared" si="1"/>
        <v>54877</v>
      </c>
    </row>
    <row r="20" spans="1:13" x14ac:dyDescent="0.3">
      <c r="A20" s="40" t="s">
        <v>18</v>
      </c>
      <c r="B20" s="44">
        <v>58791</v>
      </c>
      <c r="C20" s="43">
        <v>4861708.5</v>
      </c>
      <c r="D20" s="43">
        <v>4210652.6500000004</v>
      </c>
      <c r="E20" s="43">
        <v>337993.33525384613</v>
      </c>
      <c r="F20" s="44">
        <v>42</v>
      </c>
      <c r="G20" s="44">
        <v>2959</v>
      </c>
      <c r="H20" s="44">
        <v>2372</v>
      </c>
      <c r="I20" s="46">
        <v>0.15462112506478054</v>
      </c>
      <c r="J20" s="46">
        <v>0.13391503213325101</v>
      </c>
      <c r="L20" s="50">
        <f t="shared" si="0"/>
        <v>4.6054017342669765E-3</v>
      </c>
      <c r="M20" s="43">
        <f t="shared" si="1"/>
        <v>115754.96428571429</v>
      </c>
    </row>
    <row r="21" spans="1:13" x14ac:dyDescent="0.3">
      <c r="A21" s="40" t="s">
        <v>17</v>
      </c>
      <c r="B21" s="44">
        <v>5127</v>
      </c>
      <c r="C21" s="43">
        <v>468835.5</v>
      </c>
      <c r="D21" s="43">
        <v>412625.88699999999</v>
      </c>
      <c r="E21" s="43">
        <v>8642.376923076923</v>
      </c>
      <c r="F21" s="44">
        <v>6</v>
      </c>
      <c r="G21" s="44">
        <v>261</v>
      </c>
      <c r="H21" s="44">
        <v>188</v>
      </c>
      <c r="I21" s="46">
        <v>0.1362241555145085</v>
      </c>
      <c r="J21" s="46">
        <v>0.1198919727708333</v>
      </c>
      <c r="L21" s="50">
        <f t="shared" si="0"/>
        <v>4.4411873414169635E-4</v>
      </c>
      <c r="M21" s="43">
        <f t="shared" si="1"/>
        <v>78139.25</v>
      </c>
    </row>
    <row r="22" spans="1:13" x14ac:dyDescent="0.3">
      <c r="A22" s="45" t="s">
        <v>111</v>
      </c>
      <c r="B22" s="44">
        <v>10730598</v>
      </c>
      <c r="C22" s="43">
        <v>1055653508.75385</v>
      </c>
      <c r="D22" s="43">
        <v>796860851.93699992</v>
      </c>
      <c r="E22" s="43">
        <v>23475787.478353847</v>
      </c>
      <c r="F22" s="44">
        <v>4151</v>
      </c>
      <c r="G22" s="44">
        <v>644177</v>
      </c>
      <c r="H22" s="44">
        <v>594900</v>
      </c>
      <c r="I22" s="46">
        <v>0.324765178497324</v>
      </c>
      <c r="J22" s="46">
        <v>0.24514924136646155</v>
      </c>
    </row>
    <row r="23" spans="1:13" x14ac:dyDescent="0.3">
      <c r="B23"/>
      <c r="C23"/>
      <c r="D23"/>
      <c r="E23"/>
    </row>
    <row r="24" spans="1:13" x14ac:dyDescent="0.3">
      <c r="B24"/>
      <c r="C24"/>
      <c r="D24"/>
      <c r="E24"/>
    </row>
    <row r="25" spans="1:13" x14ac:dyDescent="0.3">
      <c r="B25"/>
      <c r="C25"/>
      <c r="D25"/>
      <c r="E25"/>
    </row>
    <row r="26" spans="1:13" x14ac:dyDescent="0.3">
      <c r="B26"/>
      <c r="C26"/>
      <c r="D26"/>
      <c r="E26"/>
    </row>
    <row r="27" spans="1:13" x14ac:dyDescent="0.3">
      <c r="B27"/>
      <c r="C27"/>
      <c r="D27"/>
      <c r="E27"/>
    </row>
    <row r="28" spans="1:13" x14ac:dyDescent="0.3">
      <c r="B28"/>
      <c r="C28"/>
      <c r="D28"/>
      <c r="E28"/>
    </row>
    <row r="29" spans="1:13" x14ac:dyDescent="0.3">
      <c r="B29"/>
      <c r="C29"/>
      <c r="D29"/>
      <c r="E29"/>
    </row>
    <row r="30" spans="1:13" x14ac:dyDescent="0.3">
      <c r="B30"/>
      <c r="C30"/>
      <c r="D30"/>
      <c r="E30"/>
    </row>
    <row r="31" spans="1:13" x14ac:dyDescent="0.3">
      <c r="B31"/>
      <c r="C31"/>
      <c r="D31"/>
      <c r="E31"/>
    </row>
    <row r="32" spans="1:13" x14ac:dyDescent="0.3">
      <c r="B32"/>
      <c r="C32"/>
      <c r="D32"/>
      <c r="E32"/>
    </row>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49" customFormat="1" x14ac:dyDescent="0.3"/>
    <row r="50" customFormat="1" x14ac:dyDescent="0.3"/>
    <row r="51" customFormat="1" x14ac:dyDescent="0.3"/>
    <row r="52" customFormat="1" x14ac:dyDescent="0.3"/>
    <row r="53" customFormat="1" x14ac:dyDescent="0.3"/>
    <row r="54" customFormat="1" x14ac:dyDescent="0.3"/>
    <row r="55" customFormat="1" x14ac:dyDescent="0.3"/>
    <row r="56" customFormat="1" x14ac:dyDescent="0.3"/>
    <row r="57" customFormat="1" x14ac:dyDescent="0.3"/>
    <row r="58" customFormat="1" x14ac:dyDescent="0.3"/>
    <row r="59" customFormat="1" x14ac:dyDescent="0.3"/>
    <row r="60" customFormat="1" x14ac:dyDescent="0.3"/>
    <row r="61" customFormat="1" x14ac:dyDescent="0.3"/>
    <row r="62" customFormat="1" x14ac:dyDescent="0.3"/>
    <row r="63" customFormat="1" x14ac:dyDescent="0.3"/>
    <row r="64" customFormat="1" x14ac:dyDescent="0.3"/>
    <row r="65" customFormat="1" x14ac:dyDescent="0.3"/>
    <row r="66" customFormat="1" x14ac:dyDescent="0.3"/>
    <row r="67" customFormat="1" x14ac:dyDescent="0.3"/>
    <row r="68" customFormat="1" x14ac:dyDescent="0.3"/>
    <row r="69" customFormat="1" x14ac:dyDescent="0.3"/>
    <row r="70" customFormat="1" x14ac:dyDescent="0.3"/>
    <row r="71" customFormat="1" x14ac:dyDescent="0.3"/>
    <row r="72" customFormat="1" x14ac:dyDescent="0.3"/>
    <row r="73" customFormat="1" x14ac:dyDescent="0.3"/>
    <row r="74" customFormat="1" x14ac:dyDescent="0.3"/>
    <row r="75" customFormat="1" x14ac:dyDescent="0.3"/>
    <row r="76" customFormat="1" x14ac:dyDescent="0.3"/>
    <row r="77" customFormat="1" x14ac:dyDescent="0.3"/>
    <row r="78" customFormat="1" x14ac:dyDescent="0.3"/>
    <row r="79" customFormat="1" x14ac:dyDescent="0.3"/>
    <row r="80" customFormat="1" x14ac:dyDescent="0.3"/>
    <row r="81" customFormat="1" x14ac:dyDescent="0.3"/>
    <row r="82" customFormat="1" x14ac:dyDescent="0.3"/>
    <row r="83" customFormat="1" x14ac:dyDescent="0.3"/>
    <row r="84" customFormat="1" x14ac:dyDescent="0.3"/>
    <row r="85" customFormat="1" x14ac:dyDescent="0.3"/>
    <row r="86" customFormat="1" x14ac:dyDescent="0.3"/>
    <row r="87" customFormat="1" x14ac:dyDescent="0.3"/>
    <row r="88" customFormat="1" x14ac:dyDescent="0.3"/>
    <row r="89" customFormat="1" x14ac:dyDescent="0.3"/>
    <row r="90" customFormat="1" x14ac:dyDescent="0.3"/>
    <row r="91" customFormat="1" x14ac:dyDescent="0.3"/>
    <row r="92" customFormat="1" x14ac:dyDescent="0.3"/>
    <row r="93" customFormat="1" x14ac:dyDescent="0.3"/>
    <row r="94" customFormat="1" x14ac:dyDescent="0.3"/>
    <row r="95" customFormat="1" x14ac:dyDescent="0.3"/>
    <row r="96" customFormat="1" x14ac:dyDescent="0.3"/>
    <row r="97" customFormat="1" x14ac:dyDescent="0.3"/>
    <row r="98" customFormat="1" x14ac:dyDescent="0.3"/>
    <row r="99" customFormat="1" x14ac:dyDescent="0.3"/>
    <row r="100" customFormat="1" x14ac:dyDescent="0.3"/>
    <row r="101" customFormat="1" x14ac:dyDescent="0.3"/>
    <row r="102" customFormat="1" x14ac:dyDescent="0.3"/>
    <row r="103" customFormat="1" x14ac:dyDescent="0.3"/>
    <row r="104" customFormat="1" x14ac:dyDescent="0.3"/>
    <row r="105" customFormat="1" x14ac:dyDescent="0.3"/>
    <row r="106" customFormat="1" x14ac:dyDescent="0.3"/>
    <row r="107" customFormat="1" x14ac:dyDescent="0.3"/>
    <row r="108" customFormat="1" x14ac:dyDescent="0.3"/>
    <row r="109" customFormat="1" x14ac:dyDescent="0.3"/>
    <row r="110" customFormat="1" x14ac:dyDescent="0.3"/>
    <row r="111" customFormat="1" x14ac:dyDescent="0.3"/>
    <row r="112" customFormat="1" x14ac:dyDescent="0.3"/>
    <row r="113" customFormat="1" x14ac:dyDescent="0.3"/>
    <row r="114" customFormat="1" x14ac:dyDescent="0.3"/>
  </sheetData>
  <mergeCells count="1">
    <mergeCell ref="L2:M2"/>
  </mergeCell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BDDE8-6BEC-46FF-8324-C2002E9B25D5}">
  <dimension ref="A1:E505"/>
  <sheetViews>
    <sheetView topLeftCell="A476" zoomScale="85" zoomScaleNormal="85" workbookViewId="0">
      <selection activeCell="C9" sqref="C9"/>
    </sheetView>
  </sheetViews>
  <sheetFormatPr defaultRowHeight="14.4" x14ac:dyDescent="0.3"/>
  <cols>
    <col min="1" max="1" width="10.3984375" bestFit="1" customWidth="1"/>
    <col min="2" max="2" width="22.8984375" bestFit="1" customWidth="1"/>
    <col min="3" max="3" width="21.59765625" customWidth="1"/>
    <col min="4" max="4" width="21" customWidth="1"/>
    <col min="5" max="5" width="22.69921875" customWidth="1"/>
  </cols>
  <sheetData>
    <row r="1" spans="1:5" x14ac:dyDescent="0.3">
      <c r="A1" s="24" t="s">
        <v>0</v>
      </c>
      <c r="B1" s="24" t="s">
        <v>1</v>
      </c>
      <c r="C1" s="24" t="s">
        <v>21</v>
      </c>
      <c r="D1" s="24" t="s">
        <v>22</v>
      </c>
      <c r="E1" s="24" t="s">
        <v>26</v>
      </c>
    </row>
    <row r="2" spans="1:5" x14ac:dyDescent="0.3">
      <c r="A2" s="2">
        <v>43949</v>
      </c>
      <c r="B2" t="s">
        <v>3</v>
      </c>
      <c r="C2">
        <v>36</v>
      </c>
      <c r="D2">
        <v>4923</v>
      </c>
      <c r="E2">
        <v>4560</v>
      </c>
    </row>
    <row r="3" spans="1:5" x14ac:dyDescent="0.3">
      <c r="A3" s="2">
        <v>43949</v>
      </c>
      <c r="B3" t="s">
        <v>4</v>
      </c>
      <c r="C3">
        <v>31</v>
      </c>
      <c r="D3">
        <v>5465</v>
      </c>
      <c r="E3">
        <v>5096</v>
      </c>
    </row>
    <row r="4" spans="1:5" x14ac:dyDescent="0.3">
      <c r="A4" s="2">
        <v>43949</v>
      </c>
      <c r="B4" t="s">
        <v>5</v>
      </c>
      <c r="C4">
        <v>19</v>
      </c>
      <c r="D4">
        <v>1846</v>
      </c>
      <c r="E4">
        <v>1681</v>
      </c>
    </row>
    <row r="5" spans="1:5" x14ac:dyDescent="0.3">
      <c r="A5" s="2">
        <v>43949</v>
      </c>
      <c r="B5" t="s">
        <v>6</v>
      </c>
      <c r="C5">
        <v>18</v>
      </c>
      <c r="D5">
        <v>1539</v>
      </c>
      <c r="E5">
        <v>1404</v>
      </c>
    </row>
    <row r="6" spans="1:5" x14ac:dyDescent="0.3">
      <c r="A6" s="2">
        <v>43949</v>
      </c>
      <c r="B6" t="s">
        <v>7</v>
      </c>
      <c r="C6">
        <v>18</v>
      </c>
      <c r="D6">
        <v>1505</v>
      </c>
      <c r="E6">
        <v>1368</v>
      </c>
    </row>
    <row r="7" spans="1:5" x14ac:dyDescent="0.3">
      <c r="A7" s="2">
        <v>43949</v>
      </c>
      <c r="B7" t="s">
        <v>8</v>
      </c>
      <c r="C7">
        <v>54</v>
      </c>
      <c r="D7">
        <v>12306</v>
      </c>
      <c r="E7">
        <v>11532</v>
      </c>
    </row>
    <row r="8" spans="1:5" x14ac:dyDescent="0.3">
      <c r="A8" s="2">
        <v>43949</v>
      </c>
      <c r="B8" t="s">
        <v>9</v>
      </c>
      <c r="C8">
        <v>59</v>
      </c>
      <c r="D8">
        <v>12943</v>
      </c>
      <c r="E8">
        <v>12072</v>
      </c>
    </row>
    <row r="9" spans="1:5" x14ac:dyDescent="0.3">
      <c r="A9" s="2">
        <v>43949</v>
      </c>
      <c r="B9" t="s">
        <v>10</v>
      </c>
      <c r="C9">
        <v>17</v>
      </c>
      <c r="D9">
        <v>1439</v>
      </c>
      <c r="E9">
        <v>1265</v>
      </c>
    </row>
    <row r="10" spans="1:5" x14ac:dyDescent="0.3">
      <c r="A10" s="2">
        <v>43949</v>
      </c>
      <c r="B10" t="s">
        <v>11</v>
      </c>
      <c r="C10">
        <v>15</v>
      </c>
      <c r="D10">
        <v>636</v>
      </c>
      <c r="E10">
        <v>547</v>
      </c>
    </row>
    <row r="11" spans="1:5" x14ac:dyDescent="0.3">
      <c r="A11" s="2">
        <v>43949</v>
      </c>
      <c r="B11" t="s">
        <v>12</v>
      </c>
      <c r="C11">
        <v>15</v>
      </c>
      <c r="D11">
        <v>780</v>
      </c>
      <c r="E11">
        <v>690</v>
      </c>
    </row>
    <row r="12" spans="1:5" x14ac:dyDescent="0.3">
      <c r="A12" s="2">
        <v>43949</v>
      </c>
      <c r="B12" t="s">
        <v>15</v>
      </c>
      <c r="C12">
        <v>125</v>
      </c>
      <c r="D12">
        <v>20914</v>
      </c>
      <c r="E12">
        <v>19479</v>
      </c>
    </row>
    <row r="13" spans="1:5" x14ac:dyDescent="0.3">
      <c r="A13" s="2">
        <v>43949</v>
      </c>
      <c r="B13" t="s">
        <v>16</v>
      </c>
      <c r="C13">
        <v>128</v>
      </c>
      <c r="D13">
        <v>16450</v>
      </c>
      <c r="E13">
        <v>15320</v>
      </c>
    </row>
    <row r="14" spans="1:5" x14ac:dyDescent="0.3">
      <c r="A14" s="2">
        <v>43949</v>
      </c>
      <c r="B14" t="s">
        <v>19</v>
      </c>
      <c r="C14">
        <v>10</v>
      </c>
      <c r="D14">
        <v>580</v>
      </c>
      <c r="E14">
        <v>506</v>
      </c>
    </row>
    <row r="15" spans="1:5" x14ac:dyDescent="0.3">
      <c r="A15" s="2">
        <v>43950</v>
      </c>
      <c r="B15" t="s">
        <v>3</v>
      </c>
      <c r="C15">
        <v>36</v>
      </c>
      <c r="D15">
        <v>4937</v>
      </c>
      <c r="E15">
        <v>4561</v>
      </c>
    </row>
    <row r="16" spans="1:5" x14ac:dyDescent="0.3">
      <c r="A16" s="2">
        <v>43950</v>
      </c>
      <c r="B16" t="s">
        <v>4</v>
      </c>
      <c r="C16">
        <v>31</v>
      </c>
      <c r="D16">
        <v>5378</v>
      </c>
      <c r="E16">
        <v>4985</v>
      </c>
    </row>
    <row r="17" spans="1:5" x14ac:dyDescent="0.3">
      <c r="A17" s="2">
        <v>43950</v>
      </c>
      <c r="B17" t="s">
        <v>5</v>
      </c>
      <c r="C17">
        <v>19</v>
      </c>
      <c r="D17">
        <v>1676</v>
      </c>
      <c r="E17">
        <v>1516</v>
      </c>
    </row>
    <row r="18" spans="1:5" x14ac:dyDescent="0.3">
      <c r="A18" s="2">
        <v>43950</v>
      </c>
      <c r="B18" t="s">
        <v>6</v>
      </c>
      <c r="C18">
        <v>18</v>
      </c>
      <c r="D18">
        <v>1684</v>
      </c>
      <c r="E18">
        <v>1528</v>
      </c>
    </row>
    <row r="19" spans="1:5" x14ac:dyDescent="0.3">
      <c r="A19" s="2">
        <v>43950</v>
      </c>
      <c r="B19" t="s">
        <v>7</v>
      </c>
      <c r="C19">
        <v>18</v>
      </c>
      <c r="D19">
        <v>1599</v>
      </c>
      <c r="E19">
        <v>1450</v>
      </c>
    </row>
    <row r="20" spans="1:5" x14ac:dyDescent="0.3">
      <c r="A20" s="2">
        <v>43950</v>
      </c>
      <c r="B20" t="s">
        <v>8</v>
      </c>
      <c r="C20">
        <v>54</v>
      </c>
      <c r="D20">
        <v>12747</v>
      </c>
      <c r="E20">
        <v>11884</v>
      </c>
    </row>
    <row r="21" spans="1:5" x14ac:dyDescent="0.3">
      <c r="A21" s="2">
        <v>43950</v>
      </c>
      <c r="B21" t="s">
        <v>9</v>
      </c>
      <c r="C21">
        <v>59</v>
      </c>
      <c r="D21">
        <v>13186</v>
      </c>
      <c r="E21">
        <v>12251</v>
      </c>
    </row>
    <row r="22" spans="1:5" x14ac:dyDescent="0.3">
      <c r="A22" s="2">
        <v>43950</v>
      </c>
      <c r="B22" t="s">
        <v>10</v>
      </c>
      <c r="C22">
        <v>18</v>
      </c>
      <c r="D22">
        <v>1534</v>
      </c>
      <c r="E22">
        <v>1369</v>
      </c>
    </row>
    <row r="23" spans="1:5" x14ac:dyDescent="0.3">
      <c r="A23" s="2">
        <v>43950</v>
      </c>
      <c r="B23" t="s">
        <v>11</v>
      </c>
      <c r="C23">
        <v>15</v>
      </c>
      <c r="D23">
        <v>659</v>
      </c>
      <c r="E23">
        <v>575</v>
      </c>
    </row>
    <row r="24" spans="1:5" x14ac:dyDescent="0.3">
      <c r="A24" s="2">
        <v>43950</v>
      </c>
      <c r="B24" t="s">
        <v>12</v>
      </c>
      <c r="C24">
        <v>15</v>
      </c>
      <c r="D24">
        <v>786</v>
      </c>
      <c r="E24">
        <v>695</v>
      </c>
    </row>
    <row r="25" spans="1:5" x14ac:dyDescent="0.3">
      <c r="A25" s="2">
        <v>43950</v>
      </c>
      <c r="B25" t="s">
        <v>15</v>
      </c>
      <c r="C25">
        <v>125</v>
      </c>
      <c r="D25">
        <v>21863</v>
      </c>
      <c r="E25">
        <v>20160</v>
      </c>
    </row>
    <row r="26" spans="1:5" x14ac:dyDescent="0.3">
      <c r="A26" s="2">
        <v>43950</v>
      </c>
      <c r="B26" t="s">
        <v>16</v>
      </c>
      <c r="C26">
        <v>128</v>
      </c>
      <c r="D26">
        <v>17368</v>
      </c>
      <c r="E26">
        <v>16077</v>
      </c>
    </row>
    <row r="27" spans="1:5" x14ac:dyDescent="0.3">
      <c r="A27" s="2">
        <v>43950</v>
      </c>
      <c r="B27" t="s">
        <v>19</v>
      </c>
      <c r="C27">
        <v>10</v>
      </c>
      <c r="D27">
        <v>502</v>
      </c>
      <c r="E27">
        <v>433</v>
      </c>
    </row>
    <row r="28" spans="1:5" x14ac:dyDescent="0.3">
      <c r="A28" s="2">
        <v>43951</v>
      </c>
      <c r="B28" t="s">
        <v>3</v>
      </c>
      <c r="C28">
        <v>36</v>
      </c>
      <c r="D28">
        <v>5143</v>
      </c>
      <c r="E28">
        <v>4715</v>
      </c>
    </row>
    <row r="29" spans="1:5" x14ac:dyDescent="0.3">
      <c r="A29" s="2">
        <v>43951</v>
      </c>
      <c r="B29" t="s">
        <v>4</v>
      </c>
      <c r="C29">
        <v>31</v>
      </c>
      <c r="D29">
        <v>5120</v>
      </c>
      <c r="E29">
        <v>4737</v>
      </c>
    </row>
    <row r="30" spans="1:5" x14ac:dyDescent="0.3">
      <c r="A30" s="2">
        <v>43951</v>
      </c>
      <c r="B30" t="s">
        <v>5</v>
      </c>
      <c r="C30">
        <v>20</v>
      </c>
      <c r="D30">
        <v>1756</v>
      </c>
      <c r="E30">
        <v>1586</v>
      </c>
    </row>
    <row r="31" spans="1:5" x14ac:dyDescent="0.3">
      <c r="A31" s="2">
        <v>43951</v>
      </c>
      <c r="B31" t="s">
        <v>6</v>
      </c>
      <c r="C31">
        <v>19</v>
      </c>
      <c r="D31">
        <v>1712</v>
      </c>
      <c r="E31">
        <v>1552</v>
      </c>
    </row>
    <row r="32" spans="1:5" x14ac:dyDescent="0.3">
      <c r="A32" s="2">
        <v>43951</v>
      </c>
      <c r="B32" t="s">
        <v>7</v>
      </c>
      <c r="C32">
        <v>19</v>
      </c>
      <c r="D32">
        <v>1662</v>
      </c>
      <c r="E32">
        <v>1506</v>
      </c>
    </row>
    <row r="33" spans="1:5" x14ac:dyDescent="0.3">
      <c r="A33" s="2">
        <v>43951</v>
      </c>
      <c r="B33" t="s">
        <v>8</v>
      </c>
      <c r="C33">
        <v>54</v>
      </c>
      <c r="D33">
        <v>12817</v>
      </c>
      <c r="E33">
        <v>11865</v>
      </c>
    </row>
    <row r="34" spans="1:5" x14ac:dyDescent="0.3">
      <c r="A34" s="2">
        <v>43951</v>
      </c>
      <c r="B34" t="s">
        <v>9</v>
      </c>
      <c r="C34">
        <v>59</v>
      </c>
      <c r="D34">
        <v>13251</v>
      </c>
      <c r="E34">
        <v>12255</v>
      </c>
    </row>
    <row r="35" spans="1:5" x14ac:dyDescent="0.3">
      <c r="A35" s="2">
        <v>43951</v>
      </c>
      <c r="B35" t="s">
        <v>10</v>
      </c>
      <c r="C35">
        <v>19</v>
      </c>
      <c r="D35">
        <v>1499</v>
      </c>
      <c r="E35">
        <v>1322</v>
      </c>
    </row>
    <row r="36" spans="1:5" x14ac:dyDescent="0.3">
      <c r="A36" s="2">
        <v>43951</v>
      </c>
      <c r="B36" t="s">
        <v>11</v>
      </c>
      <c r="C36">
        <v>15</v>
      </c>
      <c r="D36">
        <v>644</v>
      </c>
      <c r="E36">
        <v>550</v>
      </c>
    </row>
    <row r="37" spans="1:5" x14ac:dyDescent="0.3">
      <c r="A37" s="2">
        <v>43951</v>
      </c>
      <c r="B37" t="s">
        <v>12</v>
      </c>
      <c r="C37">
        <v>15</v>
      </c>
      <c r="D37">
        <v>791</v>
      </c>
      <c r="E37">
        <v>691</v>
      </c>
    </row>
    <row r="38" spans="1:5" x14ac:dyDescent="0.3">
      <c r="A38" s="2">
        <v>43951</v>
      </c>
      <c r="B38" t="s">
        <v>13</v>
      </c>
      <c r="C38">
        <v>15</v>
      </c>
      <c r="D38">
        <v>262</v>
      </c>
      <c r="E38">
        <v>195</v>
      </c>
    </row>
    <row r="39" spans="1:5" x14ac:dyDescent="0.3">
      <c r="A39" s="2">
        <v>43951</v>
      </c>
      <c r="B39" t="s">
        <v>15</v>
      </c>
      <c r="C39">
        <v>125</v>
      </c>
      <c r="D39">
        <v>22368</v>
      </c>
      <c r="E39">
        <v>20625</v>
      </c>
    </row>
    <row r="40" spans="1:5" x14ac:dyDescent="0.3">
      <c r="A40" s="2">
        <v>43951</v>
      </c>
      <c r="B40" t="s">
        <v>16</v>
      </c>
      <c r="C40">
        <v>129</v>
      </c>
      <c r="D40">
        <v>18042</v>
      </c>
      <c r="E40">
        <v>16631</v>
      </c>
    </row>
    <row r="41" spans="1:5" x14ac:dyDescent="0.3">
      <c r="A41" s="2">
        <v>43951</v>
      </c>
      <c r="B41" t="s">
        <v>19</v>
      </c>
      <c r="C41">
        <v>10</v>
      </c>
      <c r="D41">
        <v>448</v>
      </c>
      <c r="E41">
        <v>376</v>
      </c>
    </row>
    <row r="42" spans="1:5" x14ac:dyDescent="0.3">
      <c r="A42" s="2">
        <v>43952</v>
      </c>
      <c r="B42" t="s">
        <v>3</v>
      </c>
      <c r="C42">
        <v>36</v>
      </c>
      <c r="D42">
        <v>5457</v>
      </c>
      <c r="E42">
        <v>4916</v>
      </c>
    </row>
    <row r="43" spans="1:5" x14ac:dyDescent="0.3">
      <c r="A43" s="2">
        <v>43952</v>
      </c>
      <c r="B43" t="s">
        <v>4</v>
      </c>
      <c r="C43">
        <v>31</v>
      </c>
      <c r="D43">
        <v>6118</v>
      </c>
      <c r="E43">
        <v>5564</v>
      </c>
    </row>
    <row r="44" spans="1:5" x14ac:dyDescent="0.3">
      <c r="A44" s="2">
        <v>43952</v>
      </c>
      <c r="B44" t="s">
        <v>5</v>
      </c>
      <c r="C44">
        <v>20</v>
      </c>
      <c r="D44">
        <v>2468</v>
      </c>
      <c r="E44">
        <v>2221</v>
      </c>
    </row>
    <row r="45" spans="1:5" x14ac:dyDescent="0.3">
      <c r="A45" s="2">
        <v>43952</v>
      </c>
      <c r="B45" t="s">
        <v>6</v>
      </c>
      <c r="C45">
        <v>18</v>
      </c>
      <c r="D45">
        <v>1826</v>
      </c>
      <c r="E45">
        <v>1633</v>
      </c>
    </row>
    <row r="46" spans="1:5" x14ac:dyDescent="0.3">
      <c r="A46" s="2">
        <v>43952</v>
      </c>
      <c r="B46" t="s">
        <v>7</v>
      </c>
      <c r="C46">
        <v>19</v>
      </c>
      <c r="D46">
        <v>1987</v>
      </c>
      <c r="E46">
        <v>1791</v>
      </c>
    </row>
    <row r="47" spans="1:5" x14ac:dyDescent="0.3">
      <c r="A47" s="2">
        <v>43952</v>
      </c>
      <c r="B47" t="s">
        <v>8</v>
      </c>
      <c r="C47">
        <v>54</v>
      </c>
      <c r="D47">
        <v>14205</v>
      </c>
      <c r="E47">
        <v>13026</v>
      </c>
    </row>
    <row r="48" spans="1:5" x14ac:dyDescent="0.3">
      <c r="A48" s="2">
        <v>43952</v>
      </c>
      <c r="B48" t="s">
        <v>9</v>
      </c>
      <c r="C48">
        <v>59</v>
      </c>
      <c r="D48">
        <v>15222</v>
      </c>
      <c r="E48">
        <v>13873</v>
      </c>
    </row>
    <row r="49" spans="1:5" x14ac:dyDescent="0.3">
      <c r="A49" s="2">
        <v>43952</v>
      </c>
      <c r="B49" t="s">
        <v>10</v>
      </c>
      <c r="C49">
        <v>19</v>
      </c>
      <c r="D49">
        <v>1497</v>
      </c>
      <c r="E49">
        <v>1291</v>
      </c>
    </row>
    <row r="50" spans="1:5" x14ac:dyDescent="0.3">
      <c r="A50" s="2">
        <v>43952</v>
      </c>
      <c r="B50" t="s">
        <v>11</v>
      </c>
      <c r="C50">
        <v>15</v>
      </c>
      <c r="D50">
        <v>721</v>
      </c>
      <c r="E50">
        <v>625</v>
      </c>
    </row>
    <row r="51" spans="1:5" x14ac:dyDescent="0.3">
      <c r="A51" s="2">
        <v>43952</v>
      </c>
      <c r="B51" t="s">
        <v>12</v>
      </c>
      <c r="C51">
        <v>15</v>
      </c>
      <c r="D51">
        <v>996</v>
      </c>
      <c r="E51">
        <v>888</v>
      </c>
    </row>
    <row r="52" spans="1:5" x14ac:dyDescent="0.3">
      <c r="A52" s="2">
        <v>43952</v>
      </c>
      <c r="B52" t="s">
        <v>13</v>
      </c>
      <c r="C52">
        <v>15</v>
      </c>
      <c r="D52">
        <v>294</v>
      </c>
      <c r="E52">
        <v>225</v>
      </c>
    </row>
    <row r="53" spans="1:5" x14ac:dyDescent="0.3">
      <c r="A53" s="2">
        <v>43952</v>
      </c>
      <c r="B53" t="s">
        <v>15</v>
      </c>
      <c r="C53">
        <v>125</v>
      </c>
      <c r="D53">
        <v>20602</v>
      </c>
      <c r="E53">
        <v>18845</v>
      </c>
    </row>
    <row r="54" spans="1:5" x14ac:dyDescent="0.3">
      <c r="A54" s="2">
        <v>43952</v>
      </c>
      <c r="B54" t="s">
        <v>16</v>
      </c>
      <c r="C54">
        <v>129</v>
      </c>
      <c r="D54">
        <v>17002</v>
      </c>
      <c r="E54">
        <v>15570</v>
      </c>
    </row>
    <row r="55" spans="1:5" x14ac:dyDescent="0.3">
      <c r="A55" s="2">
        <v>43952</v>
      </c>
      <c r="B55" t="s">
        <v>19</v>
      </c>
      <c r="C55">
        <v>10</v>
      </c>
      <c r="D55">
        <v>554</v>
      </c>
      <c r="E55">
        <v>472</v>
      </c>
    </row>
    <row r="56" spans="1:5" x14ac:dyDescent="0.3">
      <c r="A56" s="2">
        <v>43953</v>
      </c>
      <c r="B56" t="s">
        <v>3</v>
      </c>
      <c r="C56">
        <v>36</v>
      </c>
      <c r="D56">
        <v>3442</v>
      </c>
      <c r="E56">
        <v>3147</v>
      </c>
    </row>
    <row r="57" spans="1:5" x14ac:dyDescent="0.3">
      <c r="A57" s="2">
        <v>43953</v>
      </c>
      <c r="B57" t="s">
        <v>4</v>
      </c>
      <c r="C57">
        <v>31</v>
      </c>
      <c r="D57">
        <v>4157</v>
      </c>
      <c r="E57">
        <v>3823</v>
      </c>
    </row>
    <row r="58" spans="1:5" x14ac:dyDescent="0.3">
      <c r="A58" s="2">
        <v>43953</v>
      </c>
      <c r="B58" t="s">
        <v>5</v>
      </c>
      <c r="C58">
        <v>20</v>
      </c>
      <c r="D58">
        <v>1613</v>
      </c>
      <c r="E58">
        <v>1457</v>
      </c>
    </row>
    <row r="59" spans="1:5" x14ac:dyDescent="0.3">
      <c r="A59" s="2">
        <v>43953</v>
      </c>
      <c r="B59" t="s">
        <v>6</v>
      </c>
      <c r="C59">
        <v>18</v>
      </c>
      <c r="D59">
        <v>1708</v>
      </c>
      <c r="E59">
        <v>1534</v>
      </c>
    </row>
    <row r="60" spans="1:5" x14ac:dyDescent="0.3">
      <c r="A60" s="2">
        <v>43953</v>
      </c>
      <c r="B60" t="s">
        <v>7</v>
      </c>
      <c r="C60">
        <v>19</v>
      </c>
      <c r="D60">
        <v>1206</v>
      </c>
      <c r="E60">
        <v>1080</v>
      </c>
    </row>
    <row r="61" spans="1:5" x14ac:dyDescent="0.3">
      <c r="A61" s="2">
        <v>43953</v>
      </c>
      <c r="B61" t="s">
        <v>8</v>
      </c>
      <c r="C61">
        <v>54</v>
      </c>
      <c r="D61">
        <v>11622</v>
      </c>
      <c r="E61">
        <v>10754</v>
      </c>
    </row>
    <row r="62" spans="1:5" x14ac:dyDescent="0.3">
      <c r="A62" s="2">
        <v>43953</v>
      </c>
      <c r="B62" t="s">
        <v>9</v>
      </c>
      <c r="C62">
        <v>59</v>
      </c>
      <c r="D62">
        <v>12429</v>
      </c>
      <c r="E62">
        <v>11477</v>
      </c>
    </row>
    <row r="63" spans="1:5" x14ac:dyDescent="0.3">
      <c r="A63" s="2">
        <v>43953</v>
      </c>
      <c r="B63" t="s">
        <v>10</v>
      </c>
      <c r="C63">
        <v>19</v>
      </c>
      <c r="D63">
        <v>1217</v>
      </c>
      <c r="E63">
        <v>1048</v>
      </c>
    </row>
    <row r="64" spans="1:5" x14ac:dyDescent="0.3">
      <c r="A64" s="2">
        <v>43953</v>
      </c>
      <c r="B64" t="s">
        <v>11</v>
      </c>
      <c r="C64">
        <v>15</v>
      </c>
      <c r="D64">
        <v>567</v>
      </c>
      <c r="E64">
        <v>493</v>
      </c>
    </row>
    <row r="65" spans="1:5" x14ac:dyDescent="0.3">
      <c r="A65" s="2">
        <v>43953</v>
      </c>
      <c r="B65" t="s">
        <v>12</v>
      </c>
      <c r="C65">
        <v>15</v>
      </c>
      <c r="D65">
        <v>751</v>
      </c>
      <c r="E65">
        <v>651</v>
      </c>
    </row>
    <row r="66" spans="1:5" x14ac:dyDescent="0.3">
      <c r="A66" s="2">
        <v>43953</v>
      </c>
      <c r="B66" t="s">
        <v>13</v>
      </c>
      <c r="C66">
        <v>15</v>
      </c>
      <c r="D66">
        <v>274</v>
      </c>
      <c r="E66">
        <v>203</v>
      </c>
    </row>
    <row r="67" spans="1:5" x14ac:dyDescent="0.3">
      <c r="A67" s="2">
        <v>43953</v>
      </c>
      <c r="B67" t="s">
        <v>15</v>
      </c>
      <c r="C67">
        <v>125</v>
      </c>
      <c r="D67">
        <v>16932</v>
      </c>
      <c r="E67">
        <v>15601</v>
      </c>
    </row>
    <row r="68" spans="1:5" x14ac:dyDescent="0.3">
      <c r="A68" s="2">
        <v>43953</v>
      </c>
      <c r="B68" t="s">
        <v>16</v>
      </c>
      <c r="C68">
        <v>129</v>
      </c>
      <c r="D68">
        <v>14009</v>
      </c>
      <c r="E68">
        <v>12920</v>
      </c>
    </row>
    <row r="69" spans="1:5" x14ac:dyDescent="0.3">
      <c r="A69" s="2">
        <v>43953</v>
      </c>
      <c r="B69" t="s">
        <v>19</v>
      </c>
      <c r="C69">
        <v>10</v>
      </c>
      <c r="D69">
        <v>416</v>
      </c>
      <c r="E69">
        <v>341</v>
      </c>
    </row>
    <row r="70" spans="1:5" x14ac:dyDescent="0.3">
      <c r="A70" s="2">
        <v>43954</v>
      </c>
      <c r="B70" t="s">
        <v>3</v>
      </c>
      <c r="C70">
        <v>36</v>
      </c>
      <c r="D70">
        <v>4751</v>
      </c>
      <c r="E70">
        <v>4370</v>
      </c>
    </row>
    <row r="71" spans="1:5" x14ac:dyDescent="0.3">
      <c r="A71" s="2">
        <v>43954</v>
      </c>
      <c r="B71" t="s">
        <v>4</v>
      </c>
      <c r="C71">
        <v>31</v>
      </c>
      <c r="D71">
        <v>5155</v>
      </c>
      <c r="E71">
        <v>4762</v>
      </c>
    </row>
    <row r="72" spans="1:5" x14ac:dyDescent="0.3">
      <c r="A72" s="2">
        <v>43954</v>
      </c>
      <c r="B72" t="s">
        <v>5</v>
      </c>
      <c r="C72">
        <v>20</v>
      </c>
      <c r="D72">
        <v>1716</v>
      </c>
      <c r="E72">
        <v>1561</v>
      </c>
    </row>
    <row r="73" spans="1:5" x14ac:dyDescent="0.3">
      <c r="A73" s="2">
        <v>43954</v>
      </c>
      <c r="B73" t="s">
        <v>6</v>
      </c>
      <c r="C73">
        <v>20</v>
      </c>
      <c r="D73">
        <v>1520</v>
      </c>
      <c r="E73">
        <v>1373</v>
      </c>
    </row>
    <row r="74" spans="1:5" x14ac:dyDescent="0.3">
      <c r="A74" s="2">
        <v>43954</v>
      </c>
      <c r="B74" t="s">
        <v>7</v>
      </c>
      <c r="C74">
        <v>19</v>
      </c>
      <c r="D74">
        <v>1314</v>
      </c>
      <c r="E74">
        <v>1192</v>
      </c>
    </row>
    <row r="75" spans="1:5" x14ac:dyDescent="0.3">
      <c r="A75" s="2">
        <v>43954</v>
      </c>
      <c r="B75" t="s">
        <v>8</v>
      </c>
      <c r="C75">
        <v>54</v>
      </c>
      <c r="D75">
        <v>14823</v>
      </c>
      <c r="E75">
        <v>13751</v>
      </c>
    </row>
    <row r="76" spans="1:5" x14ac:dyDescent="0.3">
      <c r="A76" s="2">
        <v>43954</v>
      </c>
      <c r="B76" t="s">
        <v>9</v>
      </c>
      <c r="C76">
        <v>59</v>
      </c>
      <c r="D76">
        <v>15277</v>
      </c>
      <c r="E76">
        <v>14163</v>
      </c>
    </row>
    <row r="77" spans="1:5" x14ac:dyDescent="0.3">
      <c r="A77" s="2">
        <v>43954</v>
      </c>
      <c r="B77" t="s">
        <v>10</v>
      </c>
      <c r="C77">
        <v>19</v>
      </c>
      <c r="D77">
        <v>1402</v>
      </c>
      <c r="E77">
        <v>1234</v>
      </c>
    </row>
    <row r="78" spans="1:5" x14ac:dyDescent="0.3">
      <c r="A78" s="2">
        <v>43954</v>
      </c>
      <c r="B78" t="s">
        <v>11</v>
      </c>
      <c r="C78">
        <v>15</v>
      </c>
      <c r="D78">
        <v>585</v>
      </c>
      <c r="E78">
        <v>502</v>
      </c>
    </row>
    <row r="79" spans="1:5" x14ac:dyDescent="0.3">
      <c r="A79" s="2">
        <v>43954</v>
      </c>
      <c r="B79" t="s">
        <v>12</v>
      </c>
      <c r="C79">
        <v>15</v>
      </c>
      <c r="D79">
        <v>784</v>
      </c>
      <c r="E79">
        <v>696</v>
      </c>
    </row>
    <row r="80" spans="1:5" x14ac:dyDescent="0.3">
      <c r="A80" s="2">
        <v>43954</v>
      </c>
      <c r="B80" t="s">
        <v>13</v>
      </c>
      <c r="C80">
        <v>15</v>
      </c>
      <c r="D80">
        <v>455</v>
      </c>
      <c r="E80">
        <v>384</v>
      </c>
    </row>
    <row r="81" spans="1:5" x14ac:dyDescent="0.3">
      <c r="A81" s="2">
        <v>43954</v>
      </c>
      <c r="B81" t="s">
        <v>15</v>
      </c>
      <c r="C81">
        <v>125</v>
      </c>
      <c r="D81">
        <v>18861</v>
      </c>
      <c r="E81">
        <v>17420</v>
      </c>
    </row>
    <row r="82" spans="1:5" x14ac:dyDescent="0.3">
      <c r="A82" s="2">
        <v>43954</v>
      </c>
      <c r="B82" t="s">
        <v>16</v>
      </c>
      <c r="C82">
        <v>129</v>
      </c>
      <c r="D82">
        <v>15778</v>
      </c>
      <c r="E82">
        <v>14624</v>
      </c>
    </row>
    <row r="83" spans="1:5" x14ac:dyDescent="0.3">
      <c r="A83" s="2">
        <v>43954</v>
      </c>
      <c r="B83" t="s">
        <v>19</v>
      </c>
      <c r="C83">
        <v>10</v>
      </c>
      <c r="D83">
        <v>402</v>
      </c>
      <c r="E83">
        <v>333</v>
      </c>
    </row>
    <row r="84" spans="1:5" x14ac:dyDescent="0.3">
      <c r="A84" s="2">
        <v>43955</v>
      </c>
      <c r="B84" t="s">
        <v>3</v>
      </c>
      <c r="C84">
        <v>36</v>
      </c>
      <c r="D84">
        <v>4508</v>
      </c>
      <c r="E84">
        <v>4149</v>
      </c>
    </row>
    <row r="85" spans="1:5" x14ac:dyDescent="0.3">
      <c r="A85" s="2">
        <v>43955</v>
      </c>
      <c r="B85" t="s">
        <v>4</v>
      </c>
      <c r="C85">
        <v>31</v>
      </c>
      <c r="D85">
        <v>4968</v>
      </c>
      <c r="E85">
        <v>4596</v>
      </c>
    </row>
    <row r="86" spans="1:5" x14ac:dyDescent="0.3">
      <c r="A86" s="2">
        <v>43955</v>
      </c>
      <c r="B86" t="s">
        <v>5</v>
      </c>
      <c r="C86">
        <v>20</v>
      </c>
      <c r="D86">
        <v>1804</v>
      </c>
      <c r="E86">
        <v>1638</v>
      </c>
    </row>
    <row r="87" spans="1:5" x14ac:dyDescent="0.3">
      <c r="A87" s="2">
        <v>43955</v>
      </c>
      <c r="B87" t="s">
        <v>6</v>
      </c>
      <c r="C87">
        <v>20</v>
      </c>
      <c r="D87">
        <v>1519</v>
      </c>
      <c r="E87">
        <v>1372</v>
      </c>
    </row>
    <row r="88" spans="1:5" x14ac:dyDescent="0.3">
      <c r="A88" s="2">
        <v>43955</v>
      </c>
      <c r="B88" t="s">
        <v>7</v>
      </c>
      <c r="C88">
        <v>19</v>
      </c>
      <c r="D88">
        <v>1479</v>
      </c>
      <c r="E88">
        <v>1346</v>
      </c>
    </row>
    <row r="89" spans="1:5" x14ac:dyDescent="0.3">
      <c r="A89" s="2">
        <v>43955</v>
      </c>
      <c r="B89" t="s">
        <v>8</v>
      </c>
      <c r="C89">
        <v>54</v>
      </c>
      <c r="D89">
        <v>13606</v>
      </c>
      <c r="E89">
        <v>12697</v>
      </c>
    </row>
    <row r="90" spans="1:5" x14ac:dyDescent="0.3">
      <c r="A90" s="2">
        <v>43955</v>
      </c>
      <c r="B90" t="s">
        <v>9</v>
      </c>
      <c r="C90">
        <v>59</v>
      </c>
      <c r="D90">
        <v>14423</v>
      </c>
      <c r="E90">
        <v>13432</v>
      </c>
    </row>
    <row r="91" spans="1:5" x14ac:dyDescent="0.3">
      <c r="A91" s="2">
        <v>43955</v>
      </c>
      <c r="B91" t="s">
        <v>10</v>
      </c>
      <c r="C91">
        <v>19</v>
      </c>
      <c r="D91">
        <v>1582</v>
      </c>
      <c r="E91">
        <v>1403</v>
      </c>
    </row>
    <row r="92" spans="1:5" x14ac:dyDescent="0.3">
      <c r="A92" s="2">
        <v>43955</v>
      </c>
      <c r="B92" t="s">
        <v>11</v>
      </c>
      <c r="C92">
        <v>15</v>
      </c>
      <c r="D92">
        <v>622</v>
      </c>
      <c r="E92">
        <v>538</v>
      </c>
    </row>
    <row r="93" spans="1:5" x14ac:dyDescent="0.3">
      <c r="A93" s="2">
        <v>43955</v>
      </c>
      <c r="B93" t="s">
        <v>12</v>
      </c>
      <c r="C93">
        <v>15</v>
      </c>
      <c r="D93">
        <v>750</v>
      </c>
      <c r="E93">
        <v>647</v>
      </c>
    </row>
    <row r="94" spans="1:5" x14ac:dyDescent="0.3">
      <c r="A94" s="2">
        <v>43955</v>
      </c>
      <c r="B94" t="s">
        <v>13</v>
      </c>
      <c r="C94">
        <v>15</v>
      </c>
      <c r="D94">
        <v>390</v>
      </c>
      <c r="E94">
        <v>315</v>
      </c>
    </row>
    <row r="95" spans="1:5" x14ac:dyDescent="0.3">
      <c r="A95" s="2">
        <v>43955</v>
      </c>
      <c r="B95" t="s">
        <v>15</v>
      </c>
      <c r="C95">
        <v>125</v>
      </c>
      <c r="D95">
        <v>20495</v>
      </c>
      <c r="E95">
        <v>18964</v>
      </c>
    </row>
    <row r="96" spans="1:5" x14ac:dyDescent="0.3">
      <c r="A96" s="2">
        <v>43955</v>
      </c>
      <c r="B96" t="s">
        <v>16</v>
      </c>
      <c r="C96">
        <v>129</v>
      </c>
      <c r="D96">
        <v>16525</v>
      </c>
      <c r="E96">
        <v>15310</v>
      </c>
    </row>
    <row r="97" spans="1:5" x14ac:dyDescent="0.3">
      <c r="A97" s="2">
        <v>43955</v>
      </c>
      <c r="B97" t="s">
        <v>19</v>
      </c>
      <c r="C97">
        <v>10</v>
      </c>
      <c r="D97">
        <v>462</v>
      </c>
      <c r="E97">
        <v>396</v>
      </c>
    </row>
    <row r="98" spans="1:5" x14ac:dyDescent="0.3">
      <c r="A98" s="2">
        <v>43956</v>
      </c>
      <c r="B98" t="s">
        <v>3</v>
      </c>
      <c r="C98">
        <v>36</v>
      </c>
      <c r="D98">
        <v>4575</v>
      </c>
      <c r="E98">
        <v>4206</v>
      </c>
    </row>
    <row r="99" spans="1:5" x14ac:dyDescent="0.3">
      <c r="A99" s="2">
        <v>43956</v>
      </c>
      <c r="B99" t="s">
        <v>4</v>
      </c>
      <c r="C99">
        <v>31</v>
      </c>
      <c r="D99">
        <v>5188</v>
      </c>
      <c r="E99">
        <v>4800</v>
      </c>
    </row>
    <row r="100" spans="1:5" x14ac:dyDescent="0.3">
      <c r="A100" s="2">
        <v>43956</v>
      </c>
      <c r="B100" t="s">
        <v>5</v>
      </c>
      <c r="C100">
        <v>20</v>
      </c>
      <c r="D100">
        <v>1757</v>
      </c>
      <c r="E100">
        <v>1596</v>
      </c>
    </row>
    <row r="101" spans="1:5" x14ac:dyDescent="0.3">
      <c r="A101" s="2">
        <v>43956</v>
      </c>
      <c r="B101" t="s">
        <v>6</v>
      </c>
      <c r="C101">
        <v>20</v>
      </c>
      <c r="D101">
        <v>1773</v>
      </c>
      <c r="E101">
        <v>1604</v>
      </c>
    </row>
    <row r="102" spans="1:5" x14ac:dyDescent="0.3">
      <c r="A102" s="2">
        <v>43956</v>
      </c>
      <c r="B102" t="s">
        <v>7</v>
      </c>
      <c r="C102">
        <v>19</v>
      </c>
      <c r="D102">
        <v>1622</v>
      </c>
      <c r="E102">
        <v>1482</v>
      </c>
    </row>
    <row r="103" spans="1:5" x14ac:dyDescent="0.3">
      <c r="A103" s="2">
        <v>43956</v>
      </c>
      <c r="B103" t="s">
        <v>8</v>
      </c>
      <c r="C103">
        <v>54</v>
      </c>
      <c r="D103">
        <v>12775</v>
      </c>
      <c r="E103">
        <v>11887</v>
      </c>
    </row>
    <row r="104" spans="1:5" x14ac:dyDescent="0.3">
      <c r="A104" s="2">
        <v>43956</v>
      </c>
      <c r="B104" t="s">
        <v>9</v>
      </c>
      <c r="C104">
        <v>59</v>
      </c>
      <c r="D104">
        <v>13469</v>
      </c>
      <c r="E104">
        <v>12486</v>
      </c>
    </row>
    <row r="105" spans="1:5" x14ac:dyDescent="0.3">
      <c r="A105" s="2">
        <v>43956</v>
      </c>
      <c r="B105" t="s">
        <v>10</v>
      </c>
      <c r="C105">
        <v>19</v>
      </c>
      <c r="D105">
        <v>1417</v>
      </c>
      <c r="E105">
        <v>1245</v>
      </c>
    </row>
    <row r="106" spans="1:5" x14ac:dyDescent="0.3">
      <c r="A106" s="2">
        <v>43956</v>
      </c>
      <c r="B106" t="s">
        <v>11</v>
      </c>
      <c r="C106">
        <v>15</v>
      </c>
      <c r="D106">
        <v>750</v>
      </c>
      <c r="E106">
        <v>658</v>
      </c>
    </row>
    <row r="107" spans="1:5" x14ac:dyDescent="0.3">
      <c r="A107" s="2">
        <v>43956</v>
      </c>
      <c r="B107" t="s">
        <v>12</v>
      </c>
      <c r="C107">
        <v>15</v>
      </c>
      <c r="D107">
        <v>922</v>
      </c>
      <c r="E107">
        <v>823</v>
      </c>
    </row>
    <row r="108" spans="1:5" x14ac:dyDescent="0.3">
      <c r="A108" s="2">
        <v>43956</v>
      </c>
      <c r="B108" t="s">
        <v>13</v>
      </c>
      <c r="C108">
        <v>15</v>
      </c>
      <c r="D108">
        <v>455</v>
      </c>
      <c r="E108">
        <v>381</v>
      </c>
    </row>
    <row r="109" spans="1:5" x14ac:dyDescent="0.3">
      <c r="A109" s="2">
        <v>43956</v>
      </c>
      <c r="B109" t="s">
        <v>15</v>
      </c>
      <c r="C109">
        <v>125</v>
      </c>
      <c r="D109">
        <v>18944</v>
      </c>
      <c r="E109">
        <v>17541</v>
      </c>
    </row>
    <row r="110" spans="1:5" x14ac:dyDescent="0.3">
      <c r="A110" s="2">
        <v>43956</v>
      </c>
      <c r="B110" t="s">
        <v>16</v>
      </c>
      <c r="C110">
        <v>129</v>
      </c>
      <c r="D110">
        <v>15665</v>
      </c>
      <c r="E110">
        <v>14501</v>
      </c>
    </row>
    <row r="111" spans="1:5" x14ac:dyDescent="0.3">
      <c r="A111" s="2">
        <v>43956</v>
      </c>
      <c r="B111" t="s">
        <v>19</v>
      </c>
      <c r="C111">
        <v>10</v>
      </c>
      <c r="D111">
        <v>511</v>
      </c>
      <c r="E111">
        <v>437</v>
      </c>
    </row>
    <row r="112" spans="1:5" x14ac:dyDescent="0.3">
      <c r="A112" s="2">
        <v>43957</v>
      </c>
      <c r="B112" t="s">
        <v>3</v>
      </c>
      <c r="C112">
        <v>36</v>
      </c>
      <c r="D112">
        <v>4384</v>
      </c>
      <c r="E112">
        <v>4025</v>
      </c>
    </row>
    <row r="113" spans="1:5" x14ac:dyDescent="0.3">
      <c r="A113" s="2">
        <v>43957</v>
      </c>
      <c r="B113" t="s">
        <v>4</v>
      </c>
      <c r="C113">
        <v>31</v>
      </c>
      <c r="D113">
        <v>4709</v>
      </c>
      <c r="E113">
        <v>4348</v>
      </c>
    </row>
    <row r="114" spans="1:5" x14ac:dyDescent="0.3">
      <c r="A114" s="2">
        <v>43957</v>
      </c>
      <c r="B114" t="s">
        <v>5</v>
      </c>
      <c r="C114">
        <v>20</v>
      </c>
      <c r="D114">
        <v>1747</v>
      </c>
      <c r="E114">
        <v>1570</v>
      </c>
    </row>
    <row r="115" spans="1:5" x14ac:dyDescent="0.3">
      <c r="A115" s="2">
        <v>43957</v>
      </c>
      <c r="B115" t="s">
        <v>6</v>
      </c>
      <c r="C115">
        <v>20</v>
      </c>
      <c r="D115">
        <v>1784</v>
      </c>
      <c r="E115">
        <v>1632</v>
      </c>
    </row>
    <row r="116" spans="1:5" x14ac:dyDescent="0.3">
      <c r="A116" s="2">
        <v>43957</v>
      </c>
      <c r="B116" t="s">
        <v>7</v>
      </c>
      <c r="C116">
        <v>19</v>
      </c>
      <c r="D116">
        <v>1509</v>
      </c>
      <c r="E116">
        <v>1374</v>
      </c>
    </row>
    <row r="117" spans="1:5" x14ac:dyDescent="0.3">
      <c r="A117" s="2">
        <v>43957</v>
      </c>
      <c r="B117" t="s">
        <v>8</v>
      </c>
      <c r="C117">
        <v>54</v>
      </c>
      <c r="D117">
        <v>13406</v>
      </c>
      <c r="E117">
        <v>12518</v>
      </c>
    </row>
    <row r="118" spans="1:5" x14ac:dyDescent="0.3">
      <c r="A118" s="2">
        <v>43957</v>
      </c>
      <c r="B118" t="s">
        <v>9</v>
      </c>
      <c r="C118">
        <v>59</v>
      </c>
      <c r="D118">
        <v>14103</v>
      </c>
      <c r="E118">
        <v>13118</v>
      </c>
    </row>
    <row r="119" spans="1:5" x14ac:dyDescent="0.3">
      <c r="A119" s="2">
        <v>43957</v>
      </c>
      <c r="B119" t="s">
        <v>10</v>
      </c>
      <c r="C119">
        <v>19</v>
      </c>
      <c r="D119">
        <v>1499</v>
      </c>
      <c r="E119">
        <v>1323</v>
      </c>
    </row>
    <row r="120" spans="1:5" x14ac:dyDescent="0.3">
      <c r="A120" s="2">
        <v>43957</v>
      </c>
      <c r="B120" t="s">
        <v>11</v>
      </c>
      <c r="C120">
        <v>15</v>
      </c>
      <c r="D120">
        <v>701</v>
      </c>
      <c r="E120">
        <v>611</v>
      </c>
    </row>
    <row r="121" spans="1:5" x14ac:dyDescent="0.3">
      <c r="A121" s="2">
        <v>43957</v>
      </c>
      <c r="B121" t="s">
        <v>12</v>
      </c>
      <c r="C121">
        <v>15</v>
      </c>
      <c r="D121">
        <v>839</v>
      </c>
      <c r="E121">
        <v>733</v>
      </c>
    </row>
    <row r="122" spans="1:5" x14ac:dyDescent="0.3">
      <c r="A122" s="2">
        <v>43957</v>
      </c>
      <c r="B122" t="s">
        <v>13</v>
      </c>
      <c r="C122">
        <v>15</v>
      </c>
      <c r="D122">
        <v>467</v>
      </c>
      <c r="E122">
        <v>389</v>
      </c>
    </row>
    <row r="123" spans="1:5" x14ac:dyDescent="0.3">
      <c r="A123" s="2">
        <v>43957</v>
      </c>
      <c r="B123" t="s">
        <v>15</v>
      </c>
      <c r="C123">
        <v>125</v>
      </c>
      <c r="D123">
        <v>20218</v>
      </c>
      <c r="E123">
        <v>18647</v>
      </c>
    </row>
    <row r="124" spans="1:5" x14ac:dyDescent="0.3">
      <c r="A124" s="2">
        <v>43957</v>
      </c>
      <c r="B124" t="s">
        <v>16</v>
      </c>
      <c r="C124">
        <v>129</v>
      </c>
      <c r="D124">
        <v>16376</v>
      </c>
      <c r="E124">
        <v>15197</v>
      </c>
    </row>
    <row r="125" spans="1:5" x14ac:dyDescent="0.3">
      <c r="A125" s="2">
        <v>43957</v>
      </c>
      <c r="B125" t="s">
        <v>19</v>
      </c>
      <c r="C125">
        <v>10</v>
      </c>
      <c r="D125">
        <v>465</v>
      </c>
      <c r="E125">
        <v>390</v>
      </c>
    </row>
    <row r="126" spans="1:5" x14ac:dyDescent="0.3">
      <c r="A126" s="2">
        <v>43958</v>
      </c>
      <c r="B126" t="s">
        <v>3</v>
      </c>
      <c r="C126">
        <v>36</v>
      </c>
      <c r="D126">
        <v>4826</v>
      </c>
      <c r="E126">
        <v>4426</v>
      </c>
    </row>
    <row r="127" spans="1:5" x14ac:dyDescent="0.3">
      <c r="A127" s="2">
        <v>43958</v>
      </c>
      <c r="B127" t="s">
        <v>4</v>
      </c>
      <c r="C127">
        <v>31</v>
      </c>
      <c r="D127">
        <v>4903</v>
      </c>
      <c r="E127">
        <v>4527</v>
      </c>
    </row>
    <row r="128" spans="1:5" x14ac:dyDescent="0.3">
      <c r="A128" s="2">
        <v>43958</v>
      </c>
      <c r="B128" t="s">
        <v>5</v>
      </c>
      <c r="C128">
        <v>21</v>
      </c>
      <c r="D128">
        <v>1879</v>
      </c>
      <c r="E128">
        <v>1695</v>
      </c>
    </row>
    <row r="129" spans="1:5" x14ac:dyDescent="0.3">
      <c r="A129" s="2">
        <v>43958</v>
      </c>
      <c r="B129" t="s">
        <v>6</v>
      </c>
      <c r="C129">
        <v>21</v>
      </c>
      <c r="D129">
        <v>1542</v>
      </c>
      <c r="E129">
        <v>1405</v>
      </c>
    </row>
    <row r="130" spans="1:5" x14ac:dyDescent="0.3">
      <c r="A130" s="2">
        <v>43958</v>
      </c>
      <c r="B130" t="s">
        <v>7</v>
      </c>
      <c r="C130">
        <v>19</v>
      </c>
      <c r="D130">
        <v>1580</v>
      </c>
      <c r="E130">
        <v>1435</v>
      </c>
    </row>
    <row r="131" spans="1:5" x14ac:dyDescent="0.3">
      <c r="A131" s="2">
        <v>43958</v>
      </c>
      <c r="B131" t="s">
        <v>8</v>
      </c>
      <c r="C131">
        <v>54</v>
      </c>
      <c r="D131">
        <v>12743</v>
      </c>
      <c r="E131">
        <v>11858</v>
      </c>
    </row>
    <row r="132" spans="1:5" x14ac:dyDescent="0.3">
      <c r="A132" s="2">
        <v>43958</v>
      </c>
      <c r="B132" t="s">
        <v>9</v>
      </c>
      <c r="C132">
        <v>59</v>
      </c>
      <c r="D132">
        <v>13495</v>
      </c>
      <c r="E132">
        <v>12517</v>
      </c>
    </row>
    <row r="133" spans="1:5" x14ac:dyDescent="0.3">
      <c r="A133" s="2">
        <v>43958</v>
      </c>
      <c r="B133" t="s">
        <v>10</v>
      </c>
      <c r="C133">
        <v>19</v>
      </c>
      <c r="D133">
        <v>1530</v>
      </c>
      <c r="E133">
        <v>1338</v>
      </c>
    </row>
    <row r="134" spans="1:5" x14ac:dyDescent="0.3">
      <c r="A134" s="2">
        <v>43958</v>
      </c>
      <c r="B134" t="s">
        <v>11</v>
      </c>
      <c r="C134">
        <v>15</v>
      </c>
      <c r="D134">
        <v>676</v>
      </c>
      <c r="E134">
        <v>591</v>
      </c>
    </row>
    <row r="135" spans="1:5" x14ac:dyDescent="0.3">
      <c r="A135" s="2">
        <v>43958</v>
      </c>
      <c r="B135" t="s">
        <v>12</v>
      </c>
      <c r="C135">
        <v>15</v>
      </c>
      <c r="D135">
        <v>805</v>
      </c>
      <c r="E135">
        <v>703</v>
      </c>
    </row>
    <row r="136" spans="1:5" x14ac:dyDescent="0.3">
      <c r="A136" s="2">
        <v>43958</v>
      </c>
      <c r="B136" t="s">
        <v>13</v>
      </c>
      <c r="C136">
        <v>15</v>
      </c>
      <c r="D136">
        <v>480</v>
      </c>
      <c r="E136">
        <v>398</v>
      </c>
    </row>
    <row r="137" spans="1:5" x14ac:dyDescent="0.3">
      <c r="A137" s="2">
        <v>43958</v>
      </c>
      <c r="B137" t="s">
        <v>15</v>
      </c>
      <c r="C137">
        <v>125</v>
      </c>
      <c r="D137">
        <v>18014</v>
      </c>
      <c r="E137">
        <v>16675</v>
      </c>
    </row>
    <row r="138" spans="1:5" x14ac:dyDescent="0.3">
      <c r="A138" s="2">
        <v>43958</v>
      </c>
      <c r="B138" t="s">
        <v>16</v>
      </c>
      <c r="C138">
        <v>129</v>
      </c>
      <c r="D138">
        <v>14582</v>
      </c>
      <c r="E138">
        <v>13512</v>
      </c>
    </row>
    <row r="139" spans="1:5" x14ac:dyDescent="0.3">
      <c r="A139" s="2">
        <v>43958</v>
      </c>
      <c r="B139" t="s">
        <v>19</v>
      </c>
      <c r="C139">
        <v>10</v>
      </c>
      <c r="D139">
        <v>563</v>
      </c>
      <c r="E139">
        <v>486</v>
      </c>
    </row>
    <row r="140" spans="1:5" x14ac:dyDescent="0.3">
      <c r="A140" s="2">
        <v>43959</v>
      </c>
      <c r="B140" t="s">
        <v>3</v>
      </c>
      <c r="C140">
        <v>36</v>
      </c>
      <c r="D140">
        <v>4199</v>
      </c>
      <c r="E140">
        <v>3867</v>
      </c>
    </row>
    <row r="141" spans="1:5" x14ac:dyDescent="0.3">
      <c r="A141" s="2">
        <v>43959</v>
      </c>
      <c r="B141" t="s">
        <v>4</v>
      </c>
      <c r="C141">
        <v>31</v>
      </c>
      <c r="D141">
        <v>4635</v>
      </c>
      <c r="E141">
        <v>4266</v>
      </c>
    </row>
    <row r="142" spans="1:5" x14ac:dyDescent="0.3">
      <c r="A142" s="2">
        <v>43959</v>
      </c>
      <c r="B142" t="s">
        <v>5</v>
      </c>
      <c r="C142">
        <v>21</v>
      </c>
      <c r="D142">
        <v>1957</v>
      </c>
      <c r="E142">
        <v>1755</v>
      </c>
    </row>
    <row r="143" spans="1:5" x14ac:dyDescent="0.3">
      <c r="A143" s="2">
        <v>43959</v>
      </c>
      <c r="B143" t="s">
        <v>6</v>
      </c>
      <c r="C143">
        <v>21</v>
      </c>
      <c r="D143">
        <v>1646</v>
      </c>
      <c r="E143">
        <v>1492</v>
      </c>
    </row>
    <row r="144" spans="1:5" x14ac:dyDescent="0.3">
      <c r="A144" s="2">
        <v>43959</v>
      </c>
      <c r="B144" t="s">
        <v>7</v>
      </c>
      <c r="C144">
        <v>19</v>
      </c>
      <c r="D144">
        <v>1520</v>
      </c>
      <c r="E144">
        <v>1380</v>
      </c>
    </row>
    <row r="145" spans="1:5" x14ac:dyDescent="0.3">
      <c r="A145" s="2">
        <v>43959</v>
      </c>
      <c r="B145" t="s">
        <v>8</v>
      </c>
      <c r="C145">
        <v>54</v>
      </c>
      <c r="D145">
        <v>13563</v>
      </c>
      <c r="E145">
        <v>12604</v>
      </c>
    </row>
    <row r="146" spans="1:5" x14ac:dyDescent="0.3">
      <c r="A146" s="2">
        <v>43959</v>
      </c>
      <c r="B146" t="s">
        <v>9</v>
      </c>
      <c r="C146">
        <v>59</v>
      </c>
      <c r="D146">
        <v>14098</v>
      </c>
      <c r="E146">
        <v>13106</v>
      </c>
    </row>
    <row r="147" spans="1:5" x14ac:dyDescent="0.3">
      <c r="A147" s="2">
        <v>43959</v>
      </c>
      <c r="B147" t="s">
        <v>10</v>
      </c>
      <c r="C147">
        <v>19</v>
      </c>
      <c r="D147">
        <v>1522</v>
      </c>
      <c r="E147">
        <v>1340</v>
      </c>
    </row>
    <row r="148" spans="1:5" x14ac:dyDescent="0.3">
      <c r="A148" s="2">
        <v>43959</v>
      </c>
      <c r="B148" t="s">
        <v>11</v>
      </c>
      <c r="C148">
        <v>15</v>
      </c>
      <c r="D148">
        <v>703</v>
      </c>
      <c r="E148">
        <v>609</v>
      </c>
    </row>
    <row r="149" spans="1:5" x14ac:dyDescent="0.3">
      <c r="A149" s="2">
        <v>43959</v>
      </c>
      <c r="B149" t="s">
        <v>12</v>
      </c>
      <c r="C149">
        <v>15</v>
      </c>
      <c r="D149">
        <v>879</v>
      </c>
      <c r="E149">
        <v>768</v>
      </c>
    </row>
    <row r="150" spans="1:5" x14ac:dyDescent="0.3">
      <c r="A150" s="2">
        <v>43959</v>
      </c>
      <c r="B150" t="s">
        <v>13</v>
      </c>
      <c r="C150">
        <v>15</v>
      </c>
      <c r="D150">
        <v>492</v>
      </c>
      <c r="E150">
        <v>412</v>
      </c>
    </row>
    <row r="151" spans="1:5" x14ac:dyDescent="0.3">
      <c r="A151" s="2">
        <v>43959</v>
      </c>
      <c r="B151" t="s">
        <v>15</v>
      </c>
      <c r="C151">
        <v>125</v>
      </c>
      <c r="D151">
        <v>24620</v>
      </c>
      <c r="E151">
        <v>22641</v>
      </c>
    </row>
    <row r="152" spans="1:5" x14ac:dyDescent="0.3">
      <c r="A152" s="2">
        <v>43959</v>
      </c>
      <c r="B152" t="s">
        <v>16</v>
      </c>
      <c r="C152">
        <v>129</v>
      </c>
      <c r="D152">
        <v>20452</v>
      </c>
      <c r="E152">
        <v>18857</v>
      </c>
    </row>
    <row r="153" spans="1:5" x14ac:dyDescent="0.3">
      <c r="A153" s="2">
        <v>43959</v>
      </c>
      <c r="B153" t="s">
        <v>19</v>
      </c>
      <c r="C153">
        <v>10</v>
      </c>
      <c r="D153">
        <v>638</v>
      </c>
      <c r="E153">
        <v>547</v>
      </c>
    </row>
    <row r="154" spans="1:5" x14ac:dyDescent="0.3">
      <c r="A154" s="2">
        <v>43960</v>
      </c>
      <c r="B154" t="s">
        <v>3</v>
      </c>
      <c r="C154">
        <v>36</v>
      </c>
      <c r="D154">
        <v>5413</v>
      </c>
      <c r="E154">
        <v>4959</v>
      </c>
    </row>
    <row r="155" spans="1:5" x14ac:dyDescent="0.3">
      <c r="A155" s="2">
        <v>43960</v>
      </c>
      <c r="B155" t="s">
        <v>4</v>
      </c>
      <c r="C155">
        <v>31</v>
      </c>
      <c r="D155">
        <v>4556</v>
      </c>
      <c r="E155">
        <v>4220</v>
      </c>
    </row>
    <row r="156" spans="1:5" x14ac:dyDescent="0.3">
      <c r="A156" s="2">
        <v>43960</v>
      </c>
      <c r="B156" t="s">
        <v>5</v>
      </c>
      <c r="C156">
        <v>21</v>
      </c>
      <c r="D156">
        <v>1891</v>
      </c>
      <c r="E156">
        <v>1709</v>
      </c>
    </row>
    <row r="157" spans="1:5" x14ac:dyDescent="0.3">
      <c r="A157" s="2">
        <v>43960</v>
      </c>
      <c r="B157" t="s">
        <v>6</v>
      </c>
      <c r="C157">
        <v>21</v>
      </c>
      <c r="D157">
        <v>1735</v>
      </c>
      <c r="E157">
        <v>1568</v>
      </c>
    </row>
    <row r="158" spans="1:5" x14ac:dyDescent="0.3">
      <c r="A158" s="2">
        <v>43960</v>
      </c>
      <c r="B158" t="s">
        <v>7</v>
      </c>
      <c r="C158">
        <v>19</v>
      </c>
      <c r="D158">
        <v>1542</v>
      </c>
      <c r="E158">
        <v>1412</v>
      </c>
    </row>
    <row r="159" spans="1:5" x14ac:dyDescent="0.3">
      <c r="A159" s="2">
        <v>43960</v>
      </c>
      <c r="B159" t="s">
        <v>8</v>
      </c>
      <c r="C159">
        <v>54</v>
      </c>
      <c r="D159">
        <v>11288</v>
      </c>
      <c r="E159">
        <v>10492</v>
      </c>
    </row>
    <row r="160" spans="1:5" x14ac:dyDescent="0.3">
      <c r="A160" s="2">
        <v>43960</v>
      </c>
      <c r="B160" t="s">
        <v>9</v>
      </c>
      <c r="C160">
        <v>59</v>
      </c>
      <c r="D160">
        <v>12016</v>
      </c>
      <c r="E160">
        <v>11137</v>
      </c>
    </row>
    <row r="161" spans="1:5" x14ac:dyDescent="0.3">
      <c r="A161" s="2">
        <v>43960</v>
      </c>
      <c r="B161" t="s">
        <v>10</v>
      </c>
      <c r="C161">
        <v>19</v>
      </c>
      <c r="D161">
        <v>1851</v>
      </c>
      <c r="E161">
        <v>1635</v>
      </c>
    </row>
    <row r="162" spans="1:5" x14ac:dyDescent="0.3">
      <c r="A162" s="2">
        <v>43960</v>
      </c>
      <c r="B162" t="s">
        <v>11</v>
      </c>
      <c r="C162">
        <v>15</v>
      </c>
      <c r="D162">
        <v>654</v>
      </c>
      <c r="E162">
        <v>570</v>
      </c>
    </row>
    <row r="163" spans="1:5" x14ac:dyDescent="0.3">
      <c r="A163" s="2">
        <v>43960</v>
      </c>
      <c r="B163" t="s">
        <v>12</v>
      </c>
      <c r="C163">
        <v>15</v>
      </c>
      <c r="D163">
        <v>849</v>
      </c>
      <c r="E163">
        <v>740</v>
      </c>
    </row>
    <row r="164" spans="1:5" x14ac:dyDescent="0.3">
      <c r="A164" s="2">
        <v>43960</v>
      </c>
      <c r="B164" t="s">
        <v>13</v>
      </c>
      <c r="C164">
        <v>15</v>
      </c>
      <c r="D164">
        <v>623</v>
      </c>
      <c r="E164">
        <v>535</v>
      </c>
    </row>
    <row r="165" spans="1:5" x14ac:dyDescent="0.3">
      <c r="A165" s="2">
        <v>43960</v>
      </c>
      <c r="B165" t="s">
        <v>15</v>
      </c>
      <c r="C165">
        <v>125</v>
      </c>
      <c r="D165">
        <v>20132</v>
      </c>
      <c r="E165">
        <v>18617</v>
      </c>
    </row>
    <row r="166" spans="1:5" x14ac:dyDescent="0.3">
      <c r="A166" s="2">
        <v>43960</v>
      </c>
      <c r="B166" t="s">
        <v>16</v>
      </c>
      <c r="C166">
        <v>129</v>
      </c>
      <c r="D166">
        <v>16420</v>
      </c>
      <c r="E166">
        <v>15169</v>
      </c>
    </row>
    <row r="167" spans="1:5" x14ac:dyDescent="0.3">
      <c r="A167" s="2">
        <v>43960</v>
      </c>
      <c r="B167" t="s">
        <v>19</v>
      </c>
      <c r="C167">
        <v>10</v>
      </c>
      <c r="D167">
        <v>644</v>
      </c>
      <c r="E167">
        <v>559</v>
      </c>
    </row>
    <row r="168" spans="1:5" x14ac:dyDescent="0.3">
      <c r="A168" s="2">
        <v>43961</v>
      </c>
      <c r="B168" t="s">
        <v>3</v>
      </c>
      <c r="C168">
        <v>36</v>
      </c>
      <c r="D168">
        <v>5746</v>
      </c>
      <c r="E168">
        <v>5277</v>
      </c>
    </row>
    <row r="169" spans="1:5" x14ac:dyDescent="0.3">
      <c r="A169" s="2">
        <v>43961</v>
      </c>
      <c r="B169" t="s">
        <v>4</v>
      </c>
      <c r="C169">
        <v>31</v>
      </c>
      <c r="D169">
        <v>5495</v>
      </c>
      <c r="E169">
        <v>5093</v>
      </c>
    </row>
    <row r="170" spans="1:5" x14ac:dyDescent="0.3">
      <c r="A170" s="2">
        <v>43961</v>
      </c>
      <c r="B170" t="s">
        <v>5</v>
      </c>
      <c r="C170">
        <v>21</v>
      </c>
      <c r="D170">
        <v>2120</v>
      </c>
      <c r="E170">
        <v>1921</v>
      </c>
    </row>
    <row r="171" spans="1:5" x14ac:dyDescent="0.3">
      <c r="A171" s="2">
        <v>43961</v>
      </c>
      <c r="B171" t="s">
        <v>6</v>
      </c>
      <c r="C171">
        <v>21</v>
      </c>
      <c r="D171">
        <v>2016</v>
      </c>
      <c r="E171">
        <v>1846</v>
      </c>
    </row>
    <row r="172" spans="1:5" x14ac:dyDescent="0.3">
      <c r="A172" s="2">
        <v>43961</v>
      </c>
      <c r="B172" t="s">
        <v>7</v>
      </c>
      <c r="C172">
        <v>19</v>
      </c>
      <c r="D172">
        <v>1836</v>
      </c>
      <c r="E172">
        <v>1680</v>
      </c>
    </row>
    <row r="173" spans="1:5" x14ac:dyDescent="0.3">
      <c r="A173" s="2">
        <v>43961</v>
      </c>
      <c r="B173" t="s">
        <v>8</v>
      </c>
      <c r="C173">
        <v>54</v>
      </c>
      <c r="D173">
        <v>13832</v>
      </c>
      <c r="E173">
        <v>12864</v>
      </c>
    </row>
    <row r="174" spans="1:5" x14ac:dyDescent="0.3">
      <c r="A174" s="2">
        <v>43961</v>
      </c>
      <c r="B174" t="s">
        <v>9</v>
      </c>
      <c r="C174">
        <v>59</v>
      </c>
      <c r="D174">
        <v>14569</v>
      </c>
      <c r="E174">
        <v>13566</v>
      </c>
    </row>
    <row r="175" spans="1:5" x14ac:dyDescent="0.3">
      <c r="A175" s="2">
        <v>43961</v>
      </c>
      <c r="B175" t="s">
        <v>10</v>
      </c>
      <c r="C175">
        <v>19</v>
      </c>
      <c r="D175">
        <v>1848</v>
      </c>
      <c r="E175">
        <v>1649</v>
      </c>
    </row>
    <row r="176" spans="1:5" x14ac:dyDescent="0.3">
      <c r="A176" s="2">
        <v>43961</v>
      </c>
      <c r="B176" t="s">
        <v>11</v>
      </c>
      <c r="C176">
        <v>15</v>
      </c>
      <c r="D176">
        <v>792</v>
      </c>
      <c r="E176">
        <v>695</v>
      </c>
    </row>
    <row r="177" spans="1:5" x14ac:dyDescent="0.3">
      <c r="A177" s="2">
        <v>43961</v>
      </c>
      <c r="B177" t="s">
        <v>12</v>
      </c>
      <c r="C177">
        <v>15</v>
      </c>
      <c r="D177">
        <v>950</v>
      </c>
      <c r="E177">
        <v>848</v>
      </c>
    </row>
    <row r="178" spans="1:5" x14ac:dyDescent="0.3">
      <c r="A178" s="2">
        <v>43961</v>
      </c>
      <c r="B178" t="s">
        <v>13</v>
      </c>
      <c r="C178">
        <v>15</v>
      </c>
      <c r="D178">
        <v>706</v>
      </c>
      <c r="E178">
        <v>608</v>
      </c>
    </row>
    <row r="179" spans="1:5" x14ac:dyDescent="0.3">
      <c r="A179" s="2">
        <v>43961</v>
      </c>
      <c r="B179" t="s">
        <v>15</v>
      </c>
      <c r="C179">
        <v>125</v>
      </c>
      <c r="D179">
        <v>20368</v>
      </c>
      <c r="E179">
        <v>18884</v>
      </c>
    </row>
    <row r="180" spans="1:5" x14ac:dyDescent="0.3">
      <c r="A180" s="2">
        <v>43961</v>
      </c>
      <c r="B180" t="s">
        <v>16</v>
      </c>
      <c r="C180">
        <v>129</v>
      </c>
      <c r="D180">
        <v>16437</v>
      </c>
      <c r="E180">
        <v>15285</v>
      </c>
    </row>
    <row r="181" spans="1:5" x14ac:dyDescent="0.3">
      <c r="A181" s="2">
        <v>43961</v>
      </c>
      <c r="B181" t="s">
        <v>19</v>
      </c>
      <c r="C181">
        <v>10</v>
      </c>
      <c r="D181">
        <v>642</v>
      </c>
      <c r="E181">
        <v>556</v>
      </c>
    </row>
    <row r="182" spans="1:5" x14ac:dyDescent="0.3">
      <c r="A182" s="2">
        <v>43962</v>
      </c>
      <c r="B182" t="s">
        <v>3</v>
      </c>
      <c r="C182">
        <v>36</v>
      </c>
      <c r="D182">
        <v>4150</v>
      </c>
      <c r="E182">
        <v>3838</v>
      </c>
    </row>
    <row r="183" spans="1:5" x14ac:dyDescent="0.3">
      <c r="A183" s="2">
        <v>43962</v>
      </c>
      <c r="B183" t="s">
        <v>4</v>
      </c>
      <c r="C183">
        <v>31</v>
      </c>
      <c r="D183">
        <v>4826</v>
      </c>
      <c r="E183">
        <v>4483</v>
      </c>
    </row>
    <row r="184" spans="1:5" x14ac:dyDescent="0.3">
      <c r="A184" s="2">
        <v>43962</v>
      </c>
      <c r="B184" t="s">
        <v>5</v>
      </c>
      <c r="C184">
        <v>21</v>
      </c>
      <c r="D184">
        <v>1916</v>
      </c>
      <c r="E184">
        <v>1733</v>
      </c>
    </row>
    <row r="185" spans="1:5" x14ac:dyDescent="0.3">
      <c r="A185" s="2">
        <v>43962</v>
      </c>
      <c r="B185" t="s">
        <v>6</v>
      </c>
      <c r="C185">
        <v>21</v>
      </c>
      <c r="D185">
        <v>1597</v>
      </c>
      <c r="E185">
        <v>1457</v>
      </c>
    </row>
    <row r="186" spans="1:5" x14ac:dyDescent="0.3">
      <c r="A186" s="2">
        <v>43962</v>
      </c>
      <c r="B186" t="s">
        <v>7</v>
      </c>
      <c r="C186">
        <v>19</v>
      </c>
      <c r="D186">
        <v>1527</v>
      </c>
      <c r="E186">
        <v>1389</v>
      </c>
    </row>
    <row r="187" spans="1:5" x14ac:dyDescent="0.3">
      <c r="A187" s="2">
        <v>43962</v>
      </c>
      <c r="B187" t="s">
        <v>8</v>
      </c>
      <c r="C187">
        <v>54</v>
      </c>
      <c r="D187">
        <v>10570</v>
      </c>
      <c r="E187">
        <v>9926</v>
      </c>
    </row>
    <row r="188" spans="1:5" x14ac:dyDescent="0.3">
      <c r="A188" s="2">
        <v>43962</v>
      </c>
      <c r="B188" t="s">
        <v>9</v>
      </c>
      <c r="C188">
        <v>60</v>
      </c>
      <c r="D188">
        <v>11100</v>
      </c>
      <c r="E188">
        <v>10407</v>
      </c>
    </row>
    <row r="189" spans="1:5" x14ac:dyDescent="0.3">
      <c r="A189" s="2">
        <v>43962</v>
      </c>
      <c r="B189" t="s">
        <v>10</v>
      </c>
      <c r="C189">
        <v>19</v>
      </c>
      <c r="D189">
        <v>2530</v>
      </c>
      <c r="E189">
        <v>2270</v>
      </c>
    </row>
    <row r="190" spans="1:5" x14ac:dyDescent="0.3">
      <c r="A190" s="2">
        <v>43962</v>
      </c>
      <c r="B190" t="s">
        <v>11</v>
      </c>
      <c r="C190">
        <v>15</v>
      </c>
      <c r="D190">
        <v>654</v>
      </c>
      <c r="E190">
        <v>564</v>
      </c>
    </row>
    <row r="191" spans="1:5" x14ac:dyDescent="0.3">
      <c r="A191" s="2">
        <v>43962</v>
      </c>
      <c r="B191" t="s">
        <v>12</v>
      </c>
      <c r="C191">
        <v>15</v>
      </c>
      <c r="D191">
        <v>812</v>
      </c>
      <c r="E191">
        <v>714</v>
      </c>
    </row>
    <row r="192" spans="1:5" x14ac:dyDescent="0.3">
      <c r="A192" s="2">
        <v>43962</v>
      </c>
      <c r="B192" t="s">
        <v>13</v>
      </c>
      <c r="C192">
        <v>15</v>
      </c>
      <c r="D192">
        <v>684</v>
      </c>
      <c r="E192">
        <v>585</v>
      </c>
    </row>
    <row r="193" spans="1:5" x14ac:dyDescent="0.3">
      <c r="A193" s="2">
        <v>43962</v>
      </c>
      <c r="B193" t="s">
        <v>15</v>
      </c>
      <c r="C193">
        <v>125</v>
      </c>
      <c r="D193">
        <v>18066</v>
      </c>
      <c r="E193">
        <v>16883</v>
      </c>
    </row>
    <row r="194" spans="1:5" x14ac:dyDescent="0.3">
      <c r="A194" s="2">
        <v>43962</v>
      </c>
      <c r="B194" t="s">
        <v>16</v>
      </c>
      <c r="C194">
        <v>129</v>
      </c>
      <c r="D194">
        <v>14043</v>
      </c>
      <c r="E194">
        <v>13167</v>
      </c>
    </row>
    <row r="195" spans="1:5" x14ac:dyDescent="0.3">
      <c r="A195" s="2">
        <v>43962</v>
      </c>
      <c r="B195" t="s">
        <v>19</v>
      </c>
      <c r="C195">
        <v>10</v>
      </c>
      <c r="D195">
        <v>494</v>
      </c>
      <c r="E195">
        <v>421</v>
      </c>
    </row>
    <row r="196" spans="1:5" x14ac:dyDescent="0.3">
      <c r="A196" s="2">
        <v>43963</v>
      </c>
      <c r="B196" t="s">
        <v>3</v>
      </c>
      <c r="C196">
        <v>36</v>
      </c>
      <c r="D196">
        <v>4418</v>
      </c>
      <c r="E196">
        <v>4088</v>
      </c>
    </row>
    <row r="197" spans="1:5" x14ac:dyDescent="0.3">
      <c r="A197" s="2">
        <v>43963</v>
      </c>
      <c r="B197" t="s">
        <v>4</v>
      </c>
      <c r="C197">
        <v>31</v>
      </c>
      <c r="D197">
        <v>4800</v>
      </c>
      <c r="E197">
        <v>4470</v>
      </c>
    </row>
    <row r="198" spans="1:5" x14ac:dyDescent="0.3">
      <c r="A198" s="2">
        <v>43963</v>
      </c>
      <c r="B198" t="s">
        <v>5</v>
      </c>
      <c r="C198">
        <v>21</v>
      </c>
      <c r="D198">
        <v>1926</v>
      </c>
      <c r="E198">
        <v>1745</v>
      </c>
    </row>
    <row r="199" spans="1:5" x14ac:dyDescent="0.3">
      <c r="A199" s="2">
        <v>43963</v>
      </c>
      <c r="B199" t="s">
        <v>6</v>
      </c>
      <c r="C199">
        <v>21</v>
      </c>
      <c r="D199">
        <v>1656</v>
      </c>
      <c r="E199">
        <v>1516</v>
      </c>
    </row>
    <row r="200" spans="1:5" x14ac:dyDescent="0.3">
      <c r="A200" s="2">
        <v>43963</v>
      </c>
      <c r="B200" t="s">
        <v>7</v>
      </c>
      <c r="C200">
        <v>19</v>
      </c>
      <c r="D200">
        <v>1598</v>
      </c>
      <c r="E200">
        <v>1454</v>
      </c>
    </row>
    <row r="201" spans="1:5" x14ac:dyDescent="0.3">
      <c r="A201" s="2">
        <v>43963</v>
      </c>
      <c r="B201" t="s">
        <v>8</v>
      </c>
      <c r="C201">
        <v>54</v>
      </c>
      <c r="D201">
        <v>11614</v>
      </c>
      <c r="E201">
        <v>10862</v>
      </c>
    </row>
    <row r="202" spans="1:5" x14ac:dyDescent="0.3">
      <c r="A202" s="2">
        <v>43963</v>
      </c>
      <c r="B202" t="s">
        <v>9</v>
      </c>
      <c r="C202">
        <v>60</v>
      </c>
      <c r="D202">
        <v>12000</v>
      </c>
      <c r="E202">
        <v>11194</v>
      </c>
    </row>
    <row r="203" spans="1:5" x14ac:dyDescent="0.3">
      <c r="A203" s="2">
        <v>43963</v>
      </c>
      <c r="B203" t="s">
        <v>10</v>
      </c>
      <c r="C203">
        <v>19</v>
      </c>
      <c r="D203">
        <v>1649</v>
      </c>
      <c r="E203">
        <v>1460</v>
      </c>
    </row>
    <row r="204" spans="1:5" x14ac:dyDescent="0.3">
      <c r="A204" s="2">
        <v>43963</v>
      </c>
      <c r="B204" t="s">
        <v>11</v>
      </c>
      <c r="C204">
        <v>15</v>
      </c>
      <c r="D204">
        <v>750</v>
      </c>
      <c r="E204">
        <v>659</v>
      </c>
    </row>
    <row r="205" spans="1:5" x14ac:dyDescent="0.3">
      <c r="A205" s="2">
        <v>43963</v>
      </c>
      <c r="B205" t="s">
        <v>12</v>
      </c>
      <c r="C205">
        <v>15</v>
      </c>
      <c r="D205">
        <v>845</v>
      </c>
      <c r="E205">
        <v>743</v>
      </c>
    </row>
    <row r="206" spans="1:5" x14ac:dyDescent="0.3">
      <c r="A206" s="2">
        <v>43963</v>
      </c>
      <c r="B206" t="s">
        <v>13</v>
      </c>
      <c r="C206">
        <v>15</v>
      </c>
      <c r="D206">
        <v>624</v>
      </c>
      <c r="E206">
        <v>538</v>
      </c>
    </row>
    <row r="207" spans="1:5" x14ac:dyDescent="0.3">
      <c r="A207" s="2">
        <v>43963</v>
      </c>
      <c r="B207" t="s">
        <v>15</v>
      </c>
      <c r="C207">
        <v>125</v>
      </c>
      <c r="D207">
        <v>21106</v>
      </c>
      <c r="E207">
        <v>19651</v>
      </c>
    </row>
    <row r="208" spans="1:5" x14ac:dyDescent="0.3">
      <c r="A208" s="2">
        <v>43963</v>
      </c>
      <c r="B208" t="s">
        <v>16</v>
      </c>
      <c r="C208">
        <v>129</v>
      </c>
      <c r="D208">
        <v>16387</v>
      </c>
      <c r="E208">
        <v>15322</v>
      </c>
    </row>
    <row r="209" spans="1:5" x14ac:dyDescent="0.3">
      <c r="A209" s="2">
        <v>43963</v>
      </c>
      <c r="B209" t="s">
        <v>19</v>
      </c>
      <c r="C209">
        <v>10</v>
      </c>
      <c r="D209">
        <v>526</v>
      </c>
      <c r="E209">
        <v>448</v>
      </c>
    </row>
    <row r="210" spans="1:5" x14ac:dyDescent="0.3">
      <c r="A210" s="2">
        <v>43964</v>
      </c>
      <c r="B210" t="s">
        <v>3</v>
      </c>
      <c r="C210">
        <v>36</v>
      </c>
      <c r="D210">
        <v>4967</v>
      </c>
      <c r="E210">
        <v>4583</v>
      </c>
    </row>
    <row r="211" spans="1:5" x14ac:dyDescent="0.3">
      <c r="A211" s="2">
        <v>43964</v>
      </c>
      <c r="B211" t="s">
        <v>4</v>
      </c>
      <c r="C211">
        <v>31</v>
      </c>
      <c r="D211">
        <v>5251</v>
      </c>
      <c r="E211">
        <v>4853</v>
      </c>
    </row>
    <row r="212" spans="1:5" x14ac:dyDescent="0.3">
      <c r="A212" s="2">
        <v>43964</v>
      </c>
      <c r="B212" t="s">
        <v>5</v>
      </c>
      <c r="C212">
        <v>21</v>
      </c>
      <c r="D212">
        <v>2061</v>
      </c>
      <c r="E212">
        <v>1876</v>
      </c>
    </row>
    <row r="213" spans="1:5" x14ac:dyDescent="0.3">
      <c r="A213" s="2">
        <v>43964</v>
      </c>
      <c r="B213" t="s">
        <v>6</v>
      </c>
      <c r="C213">
        <v>21</v>
      </c>
      <c r="D213">
        <v>1698</v>
      </c>
      <c r="E213">
        <v>1554</v>
      </c>
    </row>
    <row r="214" spans="1:5" x14ac:dyDescent="0.3">
      <c r="A214" s="2">
        <v>43964</v>
      </c>
      <c r="B214" t="s">
        <v>7</v>
      </c>
      <c r="C214">
        <v>19</v>
      </c>
      <c r="D214">
        <v>1605</v>
      </c>
      <c r="E214">
        <v>1447</v>
      </c>
    </row>
    <row r="215" spans="1:5" x14ac:dyDescent="0.3">
      <c r="A215" s="2">
        <v>43964</v>
      </c>
      <c r="B215" t="s">
        <v>8</v>
      </c>
      <c r="C215">
        <v>54</v>
      </c>
      <c r="D215">
        <v>11522</v>
      </c>
      <c r="E215">
        <v>10803</v>
      </c>
    </row>
    <row r="216" spans="1:5" x14ac:dyDescent="0.3">
      <c r="A216" s="2">
        <v>43964</v>
      </c>
      <c r="B216" t="s">
        <v>9</v>
      </c>
      <c r="C216">
        <v>60</v>
      </c>
      <c r="D216">
        <v>12007</v>
      </c>
      <c r="E216">
        <v>11245</v>
      </c>
    </row>
    <row r="217" spans="1:5" x14ac:dyDescent="0.3">
      <c r="A217" s="2">
        <v>43964</v>
      </c>
      <c r="B217" t="s">
        <v>10</v>
      </c>
      <c r="C217">
        <v>19</v>
      </c>
      <c r="D217">
        <v>1625</v>
      </c>
      <c r="E217">
        <v>1444</v>
      </c>
    </row>
    <row r="218" spans="1:5" x14ac:dyDescent="0.3">
      <c r="A218" s="2">
        <v>43964</v>
      </c>
      <c r="B218" t="s">
        <v>11</v>
      </c>
      <c r="C218">
        <v>15</v>
      </c>
      <c r="D218">
        <v>854</v>
      </c>
      <c r="E218">
        <v>756</v>
      </c>
    </row>
    <row r="219" spans="1:5" x14ac:dyDescent="0.3">
      <c r="A219" s="2">
        <v>43964</v>
      </c>
      <c r="B219" t="s">
        <v>12</v>
      </c>
      <c r="C219">
        <v>15</v>
      </c>
      <c r="D219">
        <v>898</v>
      </c>
      <c r="E219">
        <v>795</v>
      </c>
    </row>
    <row r="220" spans="1:5" x14ac:dyDescent="0.3">
      <c r="A220" s="2">
        <v>43964</v>
      </c>
      <c r="B220" t="s">
        <v>13</v>
      </c>
      <c r="C220">
        <v>15</v>
      </c>
      <c r="D220">
        <v>599</v>
      </c>
      <c r="E220">
        <v>515</v>
      </c>
    </row>
    <row r="221" spans="1:5" x14ac:dyDescent="0.3">
      <c r="A221" s="2">
        <v>43964</v>
      </c>
      <c r="B221" t="s">
        <v>15</v>
      </c>
      <c r="C221">
        <v>125</v>
      </c>
      <c r="D221">
        <v>19965</v>
      </c>
      <c r="E221">
        <v>18573</v>
      </c>
    </row>
    <row r="222" spans="1:5" x14ac:dyDescent="0.3">
      <c r="A222" s="2">
        <v>43964</v>
      </c>
      <c r="B222" t="s">
        <v>16</v>
      </c>
      <c r="C222">
        <v>129</v>
      </c>
      <c r="D222">
        <v>15304</v>
      </c>
      <c r="E222">
        <v>14315</v>
      </c>
    </row>
    <row r="223" spans="1:5" x14ac:dyDescent="0.3">
      <c r="A223" s="2">
        <v>43964</v>
      </c>
      <c r="B223" t="s">
        <v>19</v>
      </c>
      <c r="C223">
        <v>10</v>
      </c>
      <c r="D223">
        <v>612</v>
      </c>
      <c r="E223">
        <v>530</v>
      </c>
    </row>
    <row r="224" spans="1:5" x14ac:dyDescent="0.3">
      <c r="A224" s="2">
        <v>43965</v>
      </c>
      <c r="B224" t="s">
        <v>3</v>
      </c>
      <c r="C224">
        <v>36</v>
      </c>
      <c r="D224">
        <v>4285</v>
      </c>
      <c r="E224">
        <v>3950</v>
      </c>
    </row>
    <row r="225" spans="1:5" x14ac:dyDescent="0.3">
      <c r="A225" s="2">
        <v>43965</v>
      </c>
      <c r="B225" t="s">
        <v>4</v>
      </c>
      <c r="C225">
        <v>31</v>
      </c>
      <c r="D225">
        <v>4695</v>
      </c>
      <c r="E225">
        <v>4372</v>
      </c>
    </row>
    <row r="226" spans="1:5" x14ac:dyDescent="0.3">
      <c r="A226" s="2">
        <v>43965</v>
      </c>
      <c r="B226" t="s">
        <v>5</v>
      </c>
      <c r="C226">
        <v>21</v>
      </c>
      <c r="D226">
        <v>1993</v>
      </c>
      <c r="E226">
        <v>1796</v>
      </c>
    </row>
    <row r="227" spans="1:5" x14ac:dyDescent="0.3">
      <c r="A227" s="2">
        <v>43965</v>
      </c>
      <c r="B227" t="s">
        <v>6</v>
      </c>
      <c r="C227">
        <v>21</v>
      </c>
      <c r="D227">
        <v>1706</v>
      </c>
      <c r="E227">
        <v>1548</v>
      </c>
    </row>
    <row r="228" spans="1:5" x14ac:dyDescent="0.3">
      <c r="A228" s="2">
        <v>43965</v>
      </c>
      <c r="B228" t="s">
        <v>7</v>
      </c>
      <c r="C228">
        <v>19</v>
      </c>
      <c r="D228">
        <v>1635</v>
      </c>
      <c r="E228">
        <v>1487</v>
      </c>
    </row>
    <row r="229" spans="1:5" x14ac:dyDescent="0.3">
      <c r="A229" s="2">
        <v>43965</v>
      </c>
      <c r="B229" t="s">
        <v>8</v>
      </c>
      <c r="C229">
        <v>54</v>
      </c>
      <c r="D229">
        <v>11194</v>
      </c>
      <c r="E229">
        <v>10554</v>
      </c>
    </row>
    <row r="230" spans="1:5" x14ac:dyDescent="0.3">
      <c r="A230" s="2">
        <v>43965</v>
      </c>
      <c r="B230" t="s">
        <v>9</v>
      </c>
      <c r="C230">
        <v>60</v>
      </c>
      <c r="D230">
        <v>11935</v>
      </c>
      <c r="E230">
        <v>11178</v>
      </c>
    </row>
    <row r="231" spans="1:5" x14ac:dyDescent="0.3">
      <c r="A231" s="2">
        <v>43965</v>
      </c>
      <c r="B231" t="s">
        <v>10</v>
      </c>
      <c r="C231">
        <v>19</v>
      </c>
      <c r="D231">
        <v>1675</v>
      </c>
      <c r="E231">
        <v>1475</v>
      </c>
    </row>
    <row r="232" spans="1:5" x14ac:dyDescent="0.3">
      <c r="A232" s="2">
        <v>43965</v>
      </c>
      <c r="B232" t="s">
        <v>11</v>
      </c>
      <c r="C232">
        <v>16</v>
      </c>
      <c r="D232">
        <v>834</v>
      </c>
      <c r="E232">
        <v>735</v>
      </c>
    </row>
    <row r="233" spans="1:5" x14ac:dyDescent="0.3">
      <c r="A233" s="2">
        <v>43965</v>
      </c>
      <c r="B233" t="s">
        <v>12</v>
      </c>
      <c r="C233">
        <v>15</v>
      </c>
      <c r="D233">
        <v>890</v>
      </c>
      <c r="E233">
        <v>777</v>
      </c>
    </row>
    <row r="234" spans="1:5" x14ac:dyDescent="0.3">
      <c r="A234" s="2">
        <v>43965</v>
      </c>
      <c r="B234" t="s">
        <v>13</v>
      </c>
      <c r="C234">
        <v>15</v>
      </c>
      <c r="D234">
        <v>638</v>
      </c>
      <c r="E234">
        <v>548</v>
      </c>
    </row>
    <row r="235" spans="1:5" x14ac:dyDescent="0.3">
      <c r="A235" s="2">
        <v>43965</v>
      </c>
      <c r="B235" t="s">
        <v>15</v>
      </c>
      <c r="C235">
        <v>125</v>
      </c>
      <c r="D235">
        <v>20247</v>
      </c>
      <c r="E235">
        <v>18812</v>
      </c>
    </row>
    <row r="236" spans="1:5" x14ac:dyDescent="0.3">
      <c r="A236" s="2">
        <v>43965</v>
      </c>
      <c r="B236" t="s">
        <v>16</v>
      </c>
      <c r="C236">
        <v>129</v>
      </c>
      <c r="D236">
        <v>15804</v>
      </c>
      <c r="E236">
        <v>14738</v>
      </c>
    </row>
    <row r="237" spans="1:5" x14ac:dyDescent="0.3">
      <c r="A237" s="2">
        <v>43965</v>
      </c>
      <c r="B237" t="s">
        <v>19</v>
      </c>
      <c r="C237">
        <v>10</v>
      </c>
      <c r="D237">
        <v>627</v>
      </c>
      <c r="E237">
        <v>545</v>
      </c>
    </row>
    <row r="238" spans="1:5" x14ac:dyDescent="0.3">
      <c r="A238" s="2">
        <v>43966</v>
      </c>
      <c r="B238" t="s">
        <v>3</v>
      </c>
      <c r="C238">
        <v>36</v>
      </c>
      <c r="D238">
        <v>4862</v>
      </c>
      <c r="E238">
        <v>4476</v>
      </c>
    </row>
    <row r="239" spans="1:5" x14ac:dyDescent="0.3">
      <c r="A239" s="2">
        <v>43966</v>
      </c>
      <c r="B239" t="s">
        <v>4</v>
      </c>
      <c r="C239">
        <v>31</v>
      </c>
      <c r="D239">
        <v>5184</v>
      </c>
      <c r="E239">
        <v>4778</v>
      </c>
    </row>
    <row r="240" spans="1:5" x14ac:dyDescent="0.3">
      <c r="A240" s="2">
        <v>43966</v>
      </c>
      <c r="B240" t="s">
        <v>5</v>
      </c>
      <c r="C240">
        <v>21</v>
      </c>
      <c r="D240">
        <v>2255</v>
      </c>
      <c r="E240">
        <v>2045</v>
      </c>
    </row>
    <row r="241" spans="1:5" x14ac:dyDescent="0.3">
      <c r="A241" s="2">
        <v>43966</v>
      </c>
      <c r="B241" t="s">
        <v>6</v>
      </c>
      <c r="C241">
        <v>21</v>
      </c>
      <c r="D241">
        <v>1926</v>
      </c>
      <c r="E241">
        <v>1742</v>
      </c>
    </row>
    <row r="242" spans="1:5" x14ac:dyDescent="0.3">
      <c r="A242" s="2">
        <v>43966</v>
      </c>
      <c r="B242" t="s">
        <v>7</v>
      </c>
      <c r="C242">
        <v>19</v>
      </c>
      <c r="D242">
        <v>1780</v>
      </c>
      <c r="E242">
        <v>1615</v>
      </c>
    </row>
    <row r="243" spans="1:5" x14ac:dyDescent="0.3">
      <c r="A243" s="2">
        <v>43966</v>
      </c>
      <c r="B243" t="s">
        <v>8</v>
      </c>
      <c r="C243">
        <v>54</v>
      </c>
      <c r="D243">
        <v>12791</v>
      </c>
      <c r="E243">
        <v>11950</v>
      </c>
    </row>
    <row r="244" spans="1:5" x14ac:dyDescent="0.3">
      <c r="A244" s="2">
        <v>43966</v>
      </c>
      <c r="B244" t="s">
        <v>9</v>
      </c>
      <c r="C244">
        <v>60</v>
      </c>
      <c r="D244">
        <v>13544</v>
      </c>
      <c r="E244">
        <v>12643</v>
      </c>
    </row>
    <row r="245" spans="1:5" x14ac:dyDescent="0.3">
      <c r="A245" s="2">
        <v>43966</v>
      </c>
      <c r="B245" t="s">
        <v>10</v>
      </c>
      <c r="C245">
        <v>19</v>
      </c>
      <c r="D245">
        <v>1940</v>
      </c>
      <c r="E245">
        <v>1715</v>
      </c>
    </row>
    <row r="246" spans="1:5" x14ac:dyDescent="0.3">
      <c r="A246" s="2">
        <v>43966</v>
      </c>
      <c r="B246" t="s">
        <v>11</v>
      </c>
      <c r="C246">
        <v>16</v>
      </c>
      <c r="D246">
        <v>817</v>
      </c>
      <c r="E246">
        <v>718</v>
      </c>
    </row>
    <row r="247" spans="1:5" x14ac:dyDescent="0.3">
      <c r="A247" s="2">
        <v>43966</v>
      </c>
      <c r="B247" t="s">
        <v>12</v>
      </c>
      <c r="C247">
        <v>15</v>
      </c>
      <c r="D247">
        <v>980</v>
      </c>
      <c r="E247">
        <v>867</v>
      </c>
    </row>
    <row r="248" spans="1:5" x14ac:dyDescent="0.3">
      <c r="A248" s="2">
        <v>43966</v>
      </c>
      <c r="B248" t="s">
        <v>13</v>
      </c>
      <c r="C248">
        <v>15</v>
      </c>
      <c r="D248">
        <v>688</v>
      </c>
      <c r="E248">
        <v>598</v>
      </c>
    </row>
    <row r="249" spans="1:5" x14ac:dyDescent="0.3">
      <c r="A249" s="2">
        <v>43966</v>
      </c>
      <c r="B249" t="s">
        <v>15</v>
      </c>
      <c r="C249">
        <v>125</v>
      </c>
      <c r="D249">
        <v>21862</v>
      </c>
      <c r="E249">
        <v>20235</v>
      </c>
    </row>
    <row r="250" spans="1:5" x14ac:dyDescent="0.3">
      <c r="A250" s="2">
        <v>43966</v>
      </c>
      <c r="B250" t="s">
        <v>16</v>
      </c>
      <c r="C250">
        <v>129</v>
      </c>
      <c r="D250">
        <v>17808</v>
      </c>
      <c r="E250">
        <v>16486</v>
      </c>
    </row>
    <row r="251" spans="1:5" x14ac:dyDescent="0.3">
      <c r="A251" s="2">
        <v>43966</v>
      </c>
      <c r="B251" t="s">
        <v>19</v>
      </c>
      <c r="C251">
        <v>10</v>
      </c>
      <c r="D251">
        <v>743</v>
      </c>
      <c r="E251">
        <v>652</v>
      </c>
    </row>
    <row r="252" spans="1:5" x14ac:dyDescent="0.3">
      <c r="A252" s="2">
        <v>43967</v>
      </c>
      <c r="B252" t="s">
        <v>3</v>
      </c>
      <c r="C252">
        <v>36</v>
      </c>
      <c r="D252">
        <v>5286</v>
      </c>
      <c r="E252">
        <v>4867</v>
      </c>
    </row>
    <row r="253" spans="1:5" x14ac:dyDescent="0.3">
      <c r="A253" s="2">
        <v>43967</v>
      </c>
      <c r="B253" t="s">
        <v>4</v>
      </c>
      <c r="C253">
        <v>31</v>
      </c>
      <c r="D253">
        <v>5593</v>
      </c>
      <c r="E253">
        <v>5177</v>
      </c>
    </row>
    <row r="254" spans="1:5" x14ac:dyDescent="0.3">
      <c r="A254" s="2">
        <v>43967</v>
      </c>
      <c r="B254" t="s">
        <v>5</v>
      </c>
      <c r="C254">
        <v>21</v>
      </c>
      <c r="D254">
        <v>2427</v>
      </c>
      <c r="E254">
        <v>2213</v>
      </c>
    </row>
    <row r="255" spans="1:5" x14ac:dyDescent="0.3">
      <c r="A255" s="2">
        <v>43967</v>
      </c>
      <c r="B255" t="s">
        <v>6</v>
      </c>
      <c r="C255">
        <v>21</v>
      </c>
      <c r="D255">
        <v>2145</v>
      </c>
      <c r="E255">
        <v>1947</v>
      </c>
    </row>
    <row r="256" spans="1:5" x14ac:dyDescent="0.3">
      <c r="A256" s="2">
        <v>43967</v>
      </c>
      <c r="B256" t="s">
        <v>7</v>
      </c>
      <c r="C256">
        <v>19</v>
      </c>
      <c r="D256">
        <v>2039</v>
      </c>
      <c r="E256">
        <v>1868</v>
      </c>
    </row>
    <row r="257" spans="1:5" x14ac:dyDescent="0.3">
      <c r="A257" s="2">
        <v>43967</v>
      </c>
      <c r="B257" t="s">
        <v>8</v>
      </c>
      <c r="C257">
        <v>54</v>
      </c>
      <c r="D257">
        <v>13170</v>
      </c>
      <c r="E257">
        <v>12299</v>
      </c>
    </row>
    <row r="258" spans="1:5" x14ac:dyDescent="0.3">
      <c r="A258" s="2">
        <v>43967</v>
      </c>
      <c r="B258" t="s">
        <v>9</v>
      </c>
      <c r="C258">
        <v>60</v>
      </c>
      <c r="D258">
        <v>14049</v>
      </c>
      <c r="E258">
        <v>13118</v>
      </c>
    </row>
    <row r="259" spans="1:5" x14ac:dyDescent="0.3">
      <c r="A259" s="2">
        <v>43967</v>
      </c>
      <c r="B259" t="s">
        <v>10</v>
      </c>
      <c r="C259">
        <v>19</v>
      </c>
      <c r="D259">
        <v>2080</v>
      </c>
      <c r="E259">
        <v>1844</v>
      </c>
    </row>
    <row r="260" spans="1:5" x14ac:dyDescent="0.3">
      <c r="A260" s="2">
        <v>43967</v>
      </c>
      <c r="B260" t="s">
        <v>11</v>
      </c>
      <c r="C260">
        <v>16</v>
      </c>
      <c r="D260">
        <v>920</v>
      </c>
      <c r="E260">
        <v>818</v>
      </c>
    </row>
    <row r="261" spans="1:5" x14ac:dyDescent="0.3">
      <c r="A261" s="2">
        <v>43967</v>
      </c>
      <c r="B261" t="s">
        <v>12</v>
      </c>
      <c r="C261">
        <v>15</v>
      </c>
      <c r="D261">
        <v>1111</v>
      </c>
      <c r="E261">
        <v>992</v>
      </c>
    </row>
    <row r="262" spans="1:5" x14ac:dyDescent="0.3">
      <c r="A262" s="2">
        <v>43967</v>
      </c>
      <c r="B262" t="s">
        <v>13</v>
      </c>
      <c r="C262">
        <v>15</v>
      </c>
      <c r="D262">
        <v>747</v>
      </c>
      <c r="E262">
        <v>647</v>
      </c>
    </row>
    <row r="263" spans="1:5" x14ac:dyDescent="0.3">
      <c r="A263" s="2">
        <v>43967</v>
      </c>
      <c r="B263" t="s">
        <v>15</v>
      </c>
      <c r="C263">
        <v>125</v>
      </c>
      <c r="D263">
        <v>22291</v>
      </c>
      <c r="E263">
        <v>20635</v>
      </c>
    </row>
    <row r="264" spans="1:5" x14ac:dyDescent="0.3">
      <c r="A264" s="2">
        <v>43967</v>
      </c>
      <c r="B264" t="s">
        <v>16</v>
      </c>
      <c r="C264">
        <v>129</v>
      </c>
      <c r="D264">
        <v>17914</v>
      </c>
      <c r="E264">
        <v>16631</v>
      </c>
    </row>
    <row r="265" spans="1:5" x14ac:dyDescent="0.3">
      <c r="A265" s="2">
        <v>43967</v>
      </c>
      <c r="B265" t="s">
        <v>19</v>
      </c>
      <c r="C265">
        <v>10</v>
      </c>
      <c r="D265">
        <v>760</v>
      </c>
      <c r="E265">
        <v>672</v>
      </c>
    </row>
    <row r="266" spans="1:5" x14ac:dyDescent="0.3">
      <c r="A266" s="2">
        <v>43968</v>
      </c>
      <c r="B266" t="s">
        <v>3</v>
      </c>
      <c r="C266">
        <v>36</v>
      </c>
      <c r="D266">
        <v>4918</v>
      </c>
      <c r="E266">
        <v>4554</v>
      </c>
    </row>
    <row r="267" spans="1:5" x14ac:dyDescent="0.3">
      <c r="A267" s="2">
        <v>43968</v>
      </c>
      <c r="B267" t="s">
        <v>4</v>
      </c>
      <c r="C267">
        <v>31</v>
      </c>
      <c r="D267">
        <v>5206</v>
      </c>
      <c r="E267">
        <v>4843</v>
      </c>
    </row>
    <row r="268" spans="1:5" x14ac:dyDescent="0.3">
      <c r="A268" s="2">
        <v>43968</v>
      </c>
      <c r="B268" t="s">
        <v>5</v>
      </c>
      <c r="C268">
        <v>21</v>
      </c>
      <c r="D268">
        <v>2054</v>
      </c>
      <c r="E268">
        <v>1883</v>
      </c>
    </row>
    <row r="269" spans="1:5" x14ac:dyDescent="0.3">
      <c r="A269" s="2">
        <v>43968</v>
      </c>
      <c r="B269" t="s">
        <v>6</v>
      </c>
      <c r="C269">
        <v>21</v>
      </c>
      <c r="D269">
        <v>1874</v>
      </c>
      <c r="E269">
        <v>1705</v>
      </c>
    </row>
    <row r="270" spans="1:5" x14ac:dyDescent="0.3">
      <c r="A270" s="2">
        <v>43968</v>
      </c>
      <c r="B270" t="s">
        <v>7</v>
      </c>
      <c r="C270">
        <v>19</v>
      </c>
      <c r="D270">
        <v>1790</v>
      </c>
      <c r="E270">
        <v>1633</v>
      </c>
    </row>
    <row r="271" spans="1:5" x14ac:dyDescent="0.3">
      <c r="A271" s="2">
        <v>43968</v>
      </c>
      <c r="B271" t="s">
        <v>8</v>
      </c>
      <c r="C271">
        <v>54</v>
      </c>
      <c r="D271">
        <v>11128</v>
      </c>
      <c r="E271">
        <v>10467</v>
      </c>
    </row>
    <row r="272" spans="1:5" x14ac:dyDescent="0.3">
      <c r="A272" s="2">
        <v>43968</v>
      </c>
      <c r="B272" t="s">
        <v>9</v>
      </c>
      <c r="C272">
        <v>60</v>
      </c>
      <c r="D272">
        <v>11698</v>
      </c>
      <c r="E272">
        <v>10989</v>
      </c>
    </row>
    <row r="273" spans="1:5" x14ac:dyDescent="0.3">
      <c r="A273" s="2">
        <v>43968</v>
      </c>
      <c r="B273" t="s">
        <v>10</v>
      </c>
      <c r="C273">
        <v>19</v>
      </c>
      <c r="D273">
        <v>1871</v>
      </c>
      <c r="E273">
        <v>1660</v>
      </c>
    </row>
    <row r="274" spans="1:5" x14ac:dyDescent="0.3">
      <c r="A274" s="2">
        <v>43968</v>
      </c>
      <c r="B274" t="s">
        <v>11</v>
      </c>
      <c r="C274">
        <v>16</v>
      </c>
      <c r="D274">
        <v>859</v>
      </c>
      <c r="E274">
        <v>746</v>
      </c>
    </row>
    <row r="275" spans="1:5" x14ac:dyDescent="0.3">
      <c r="A275" s="2">
        <v>43968</v>
      </c>
      <c r="B275" t="s">
        <v>12</v>
      </c>
      <c r="C275">
        <v>15</v>
      </c>
      <c r="D275">
        <v>971</v>
      </c>
      <c r="E275">
        <v>856</v>
      </c>
    </row>
    <row r="276" spans="1:5" x14ac:dyDescent="0.3">
      <c r="A276" s="2">
        <v>43968</v>
      </c>
      <c r="B276" t="s">
        <v>13</v>
      </c>
      <c r="C276">
        <v>15</v>
      </c>
      <c r="D276">
        <v>692</v>
      </c>
      <c r="E276">
        <v>591</v>
      </c>
    </row>
    <row r="277" spans="1:5" x14ac:dyDescent="0.3">
      <c r="A277" s="2">
        <v>43968</v>
      </c>
      <c r="B277" t="s">
        <v>15</v>
      </c>
      <c r="C277">
        <v>125</v>
      </c>
      <c r="D277">
        <v>20079</v>
      </c>
      <c r="E277">
        <v>18721</v>
      </c>
    </row>
    <row r="278" spans="1:5" x14ac:dyDescent="0.3">
      <c r="A278" s="2">
        <v>43968</v>
      </c>
      <c r="B278" t="s">
        <v>16</v>
      </c>
      <c r="C278">
        <v>129</v>
      </c>
      <c r="D278">
        <v>15744</v>
      </c>
      <c r="E278">
        <v>14685</v>
      </c>
    </row>
    <row r="279" spans="1:5" x14ac:dyDescent="0.3">
      <c r="A279" s="2">
        <v>43968</v>
      </c>
      <c r="B279" t="s">
        <v>19</v>
      </c>
      <c r="C279">
        <v>10</v>
      </c>
      <c r="D279">
        <v>591</v>
      </c>
      <c r="E279">
        <v>513</v>
      </c>
    </row>
    <row r="280" spans="1:5" x14ac:dyDescent="0.3">
      <c r="A280" s="2">
        <v>43969</v>
      </c>
      <c r="B280" t="s">
        <v>3</v>
      </c>
      <c r="C280">
        <v>36</v>
      </c>
      <c r="D280">
        <v>4885</v>
      </c>
      <c r="E280">
        <v>4502</v>
      </c>
    </row>
    <row r="281" spans="1:5" x14ac:dyDescent="0.3">
      <c r="A281" s="2">
        <v>43969</v>
      </c>
      <c r="B281" t="s">
        <v>4</v>
      </c>
      <c r="C281">
        <v>31</v>
      </c>
      <c r="D281">
        <v>5165</v>
      </c>
      <c r="E281">
        <v>4813</v>
      </c>
    </row>
    <row r="282" spans="1:5" x14ac:dyDescent="0.3">
      <c r="A282" s="2">
        <v>43969</v>
      </c>
      <c r="B282" t="s">
        <v>5</v>
      </c>
      <c r="C282">
        <v>21</v>
      </c>
      <c r="D282">
        <v>2136</v>
      </c>
      <c r="E282">
        <v>1947</v>
      </c>
    </row>
    <row r="283" spans="1:5" x14ac:dyDescent="0.3">
      <c r="A283" s="2">
        <v>43969</v>
      </c>
      <c r="B283" t="s">
        <v>6</v>
      </c>
      <c r="C283">
        <v>21</v>
      </c>
      <c r="D283">
        <v>1834</v>
      </c>
      <c r="E283">
        <v>1660</v>
      </c>
    </row>
    <row r="284" spans="1:5" x14ac:dyDescent="0.3">
      <c r="A284" s="2">
        <v>43969</v>
      </c>
      <c r="B284" t="s">
        <v>7</v>
      </c>
      <c r="C284">
        <v>19</v>
      </c>
      <c r="D284">
        <v>1741</v>
      </c>
      <c r="E284">
        <v>1597</v>
      </c>
    </row>
    <row r="285" spans="1:5" x14ac:dyDescent="0.3">
      <c r="A285" s="2">
        <v>43969</v>
      </c>
      <c r="B285" t="s">
        <v>8</v>
      </c>
      <c r="C285">
        <v>54</v>
      </c>
      <c r="D285">
        <v>12012</v>
      </c>
      <c r="E285">
        <v>11308</v>
      </c>
    </row>
    <row r="286" spans="1:5" x14ac:dyDescent="0.3">
      <c r="A286" s="2">
        <v>43969</v>
      </c>
      <c r="B286" t="s">
        <v>9</v>
      </c>
      <c r="C286">
        <v>60</v>
      </c>
      <c r="D286">
        <v>12460</v>
      </c>
      <c r="E286">
        <v>11665</v>
      </c>
    </row>
    <row r="287" spans="1:5" x14ac:dyDescent="0.3">
      <c r="A287" s="2">
        <v>43969</v>
      </c>
      <c r="B287" t="s">
        <v>10</v>
      </c>
      <c r="C287">
        <v>19</v>
      </c>
      <c r="D287">
        <v>1858</v>
      </c>
      <c r="E287">
        <v>1648</v>
      </c>
    </row>
    <row r="288" spans="1:5" x14ac:dyDescent="0.3">
      <c r="A288" s="2">
        <v>43969</v>
      </c>
      <c r="B288" t="s">
        <v>11</v>
      </c>
      <c r="C288">
        <v>16</v>
      </c>
      <c r="D288">
        <v>864</v>
      </c>
      <c r="E288">
        <v>765</v>
      </c>
    </row>
    <row r="289" spans="1:5" x14ac:dyDescent="0.3">
      <c r="A289" s="2">
        <v>43969</v>
      </c>
      <c r="B289" t="s">
        <v>12</v>
      </c>
      <c r="C289">
        <v>16</v>
      </c>
      <c r="D289">
        <v>925</v>
      </c>
      <c r="E289">
        <v>816</v>
      </c>
    </row>
    <row r="290" spans="1:5" x14ac:dyDescent="0.3">
      <c r="A290" s="2">
        <v>43969</v>
      </c>
      <c r="B290" t="s">
        <v>13</v>
      </c>
      <c r="C290">
        <v>15</v>
      </c>
      <c r="D290">
        <v>729</v>
      </c>
      <c r="E290">
        <v>636</v>
      </c>
    </row>
    <row r="291" spans="1:5" x14ac:dyDescent="0.3">
      <c r="A291" s="2">
        <v>43969</v>
      </c>
      <c r="B291" t="s">
        <v>15</v>
      </c>
      <c r="C291">
        <v>125</v>
      </c>
      <c r="D291">
        <v>20449</v>
      </c>
      <c r="E291">
        <v>19060</v>
      </c>
    </row>
    <row r="292" spans="1:5" x14ac:dyDescent="0.3">
      <c r="A292" s="2">
        <v>43969</v>
      </c>
      <c r="B292" t="s">
        <v>16</v>
      </c>
      <c r="C292">
        <v>129</v>
      </c>
      <c r="D292">
        <v>16110</v>
      </c>
      <c r="E292">
        <v>14992</v>
      </c>
    </row>
    <row r="293" spans="1:5" x14ac:dyDescent="0.3">
      <c r="A293" s="2">
        <v>43969</v>
      </c>
      <c r="B293" t="s">
        <v>19</v>
      </c>
      <c r="C293">
        <v>10</v>
      </c>
      <c r="D293">
        <v>645</v>
      </c>
      <c r="E293">
        <v>565</v>
      </c>
    </row>
    <row r="294" spans="1:5" x14ac:dyDescent="0.3">
      <c r="A294" s="2">
        <v>43970</v>
      </c>
      <c r="B294" t="s">
        <v>3</v>
      </c>
      <c r="C294">
        <v>36</v>
      </c>
      <c r="D294">
        <v>5094</v>
      </c>
      <c r="E294">
        <v>4716</v>
      </c>
    </row>
    <row r="295" spans="1:5" x14ac:dyDescent="0.3">
      <c r="A295" s="2">
        <v>43970</v>
      </c>
      <c r="B295" t="s">
        <v>4</v>
      </c>
      <c r="C295">
        <v>31</v>
      </c>
      <c r="D295">
        <v>5389</v>
      </c>
      <c r="E295">
        <v>5024</v>
      </c>
    </row>
    <row r="296" spans="1:5" x14ac:dyDescent="0.3">
      <c r="A296" s="2">
        <v>43970</v>
      </c>
      <c r="B296" t="s">
        <v>5</v>
      </c>
      <c r="C296">
        <v>21</v>
      </c>
      <c r="D296">
        <v>2245</v>
      </c>
      <c r="E296">
        <v>2053</v>
      </c>
    </row>
    <row r="297" spans="1:5" x14ac:dyDescent="0.3">
      <c r="A297" s="2">
        <v>43970</v>
      </c>
      <c r="B297" t="s">
        <v>6</v>
      </c>
      <c r="C297">
        <v>21</v>
      </c>
      <c r="D297">
        <v>1860</v>
      </c>
      <c r="E297">
        <v>1704</v>
      </c>
    </row>
    <row r="298" spans="1:5" x14ac:dyDescent="0.3">
      <c r="A298" s="2">
        <v>43970</v>
      </c>
      <c r="B298" t="s">
        <v>7</v>
      </c>
      <c r="C298">
        <v>19</v>
      </c>
      <c r="D298">
        <v>1831</v>
      </c>
      <c r="E298">
        <v>1667</v>
      </c>
    </row>
    <row r="299" spans="1:5" x14ac:dyDescent="0.3">
      <c r="A299" s="2">
        <v>43970</v>
      </c>
      <c r="B299" t="s">
        <v>8</v>
      </c>
      <c r="C299">
        <v>54</v>
      </c>
      <c r="D299">
        <v>13070</v>
      </c>
      <c r="E299">
        <v>12244</v>
      </c>
    </row>
    <row r="300" spans="1:5" x14ac:dyDescent="0.3">
      <c r="A300" s="2">
        <v>43970</v>
      </c>
      <c r="B300" t="s">
        <v>9</v>
      </c>
      <c r="C300">
        <v>60</v>
      </c>
      <c r="D300">
        <v>13867</v>
      </c>
      <c r="E300">
        <v>12987</v>
      </c>
    </row>
    <row r="301" spans="1:5" x14ac:dyDescent="0.3">
      <c r="A301" s="2">
        <v>43970</v>
      </c>
      <c r="B301" t="s">
        <v>10</v>
      </c>
      <c r="C301">
        <v>19</v>
      </c>
      <c r="D301">
        <v>1999</v>
      </c>
      <c r="E301">
        <v>1799</v>
      </c>
    </row>
    <row r="302" spans="1:5" x14ac:dyDescent="0.3">
      <c r="A302" s="2">
        <v>43970</v>
      </c>
      <c r="B302" t="s">
        <v>11</v>
      </c>
      <c r="C302">
        <v>17</v>
      </c>
      <c r="D302">
        <v>857</v>
      </c>
      <c r="E302">
        <v>757</v>
      </c>
    </row>
    <row r="303" spans="1:5" x14ac:dyDescent="0.3">
      <c r="A303" s="2">
        <v>43970</v>
      </c>
      <c r="B303" t="s">
        <v>12</v>
      </c>
      <c r="C303">
        <v>16</v>
      </c>
      <c r="D303">
        <v>1012</v>
      </c>
      <c r="E303">
        <v>900</v>
      </c>
    </row>
    <row r="304" spans="1:5" x14ac:dyDescent="0.3">
      <c r="A304" s="2">
        <v>43970</v>
      </c>
      <c r="B304" t="s">
        <v>13</v>
      </c>
      <c r="C304">
        <v>15</v>
      </c>
      <c r="D304">
        <v>930</v>
      </c>
      <c r="E304">
        <v>827</v>
      </c>
    </row>
    <row r="305" spans="1:5" x14ac:dyDescent="0.3">
      <c r="A305" s="2">
        <v>43970</v>
      </c>
      <c r="B305" t="s">
        <v>15</v>
      </c>
      <c r="C305">
        <v>125</v>
      </c>
      <c r="D305">
        <v>20771</v>
      </c>
      <c r="E305">
        <v>19338</v>
      </c>
    </row>
    <row r="306" spans="1:5" x14ac:dyDescent="0.3">
      <c r="A306" s="2">
        <v>43970</v>
      </c>
      <c r="B306" t="s">
        <v>16</v>
      </c>
      <c r="C306">
        <v>129</v>
      </c>
      <c r="D306">
        <v>16191</v>
      </c>
      <c r="E306">
        <v>15102</v>
      </c>
    </row>
    <row r="307" spans="1:5" x14ac:dyDescent="0.3">
      <c r="A307" s="2">
        <v>43970</v>
      </c>
      <c r="B307" t="s">
        <v>19</v>
      </c>
      <c r="C307">
        <v>10</v>
      </c>
      <c r="D307">
        <v>649</v>
      </c>
      <c r="E307">
        <v>568</v>
      </c>
    </row>
    <row r="308" spans="1:5" x14ac:dyDescent="0.3">
      <c r="A308" s="2">
        <v>43971</v>
      </c>
      <c r="B308" t="s">
        <v>3</v>
      </c>
      <c r="C308">
        <v>36</v>
      </c>
      <c r="D308">
        <v>5914</v>
      </c>
      <c r="E308">
        <v>5384</v>
      </c>
    </row>
    <row r="309" spans="1:5" x14ac:dyDescent="0.3">
      <c r="A309" s="2">
        <v>43971</v>
      </c>
      <c r="B309" t="s">
        <v>4</v>
      </c>
      <c r="C309">
        <v>31</v>
      </c>
      <c r="D309">
        <v>5698</v>
      </c>
      <c r="E309">
        <v>5258</v>
      </c>
    </row>
    <row r="310" spans="1:5" x14ac:dyDescent="0.3">
      <c r="A310" s="2">
        <v>43971</v>
      </c>
      <c r="B310" t="s">
        <v>5</v>
      </c>
      <c r="C310">
        <v>21</v>
      </c>
      <c r="D310">
        <v>2410</v>
      </c>
      <c r="E310">
        <v>2202</v>
      </c>
    </row>
    <row r="311" spans="1:5" x14ac:dyDescent="0.3">
      <c r="A311" s="2">
        <v>43971</v>
      </c>
      <c r="B311" t="s">
        <v>6</v>
      </c>
      <c r="C311">
        <v>21</v>
      </c>
      <c r="D311">
        <v>1921</v>
      </c>
      <c r="E311">
        <v>1767</v>
      </c>
    </row>
    <row r="312" spans="1:5" x14ac:dyDescent="0.3">
      <c r="A312" s="2">
        <v>43971</v>
      </c>
      <c r="B312" t="s">
        <v>7</v>
      </c>
      <c r="C312">
        <v>19</v>
      </c>
      <c r="D312">
        <v>1823</v>
      </c>
      <c r="E312">
        <v>1678</v>
      </c>
    </row>
    <row r="313" spans="1:5" x14ac:dyDescent="0.3">
      <c r="A313" s="2">
        <v>43971</v>
      </c>
      <c r="B313" t="s">
        <v>8</v>
      </c>
      <c r="C313">
        <v>54</v>
      </c>
      <c r="D313">
        <v>13298</v>
      </c>
      <c r="E313">
        <v>12428</v>
      </c>
    </row>
    <row r="314" spans="1:5" x14ac:dyDescent="0.3">
      <c r="A314" s="2">
        <v>43971</v>
      </c>
      <c r="B314" t="s">
        <v>9</v>
      </c>
      <c r="C314">
        <v>60</v>
      </c>
      <c r="D314">
        <v>13792</v>
      </c>
      <c r="E314">
        <v>12834</v>
      </c>
    </row>
    <row r="315" spans="1:5" x14ac:dyDescent="0.3">
      <c r="A315" s="2">
        <v>43971</v>
      </c>
      <c r="B315" t="s">
        <v>10</v>
      </c>
      <c r="C315">
        <v>19</v>
      </c>
      <c r="D315">
        <v>1889</v>
      </c>
      <c r="E315">
        <v>1690</v>
      </c>
    </row>
    <row r="316" spans="1:5" x14ac:dyDescent="0.3">
      <c r="A316" s="2">
        <v>43971</v>
      </c>
      <c r="B316" t="s">
        <v>11</v>
      </c>
      <c r="C316">
        <v>17</v>
      </c>
      <c r="D316">
        <v>890</v>
      </c>
      <c r="E316">
        <v>794</v>
      </c>
    </row>
    <row r="317" spans="1:5" x14ac:dyDescent="0.3">
      <c r="A317" s="2">
        <v>43971</v>
      </c>
      <c r="B317" t="s">
        <v>12</v>
      </c>
      <c r="C317">
        <v>16</v>
      </c>
      <c r="D317">
        <v>1050</v>
      </c>
      <c r="E317">
        <v>938</v>
      </c>
    </row>
    <row r="318" spans="1:5" x14ac:dyDescent="0.3">
      <c r="A318" s="2">
        <v>43971</v>
      </c>
      <c r="B318" t="s">
        <v>13</v>
      </c>
      <c r="C318">
        <v>15</v>
      </c>
      <c r="D318">
        <v>760</v>
      </c>
      <c r="E318">
        <v>664</v>
      </c>
    </row>
    <row r="319" spans="1:5" x14ac:dyDescent="0.3">
      <c r="A319" s="2">
        <v>43971</v>
      </c>
      <c r="B319" t="s">
        <v>15</v>
      </c>
      <c r="C319">
        <v>125</v>
      </c>
      <c r="D319">
        <v>21674</v>
      </c>
      <c r="E319">
        <v>20155</v>
      </c>
    </row>
    <row r="320" spans="1:5" x14ac:dyDescent="0.3">
      <c r="A320" s="2">
        <v>43971</v>
      </c>
      <c r="B320" t="s">
        <v>16</v>
      </c>
      <c r="C320">
        <v>129</v>
      </c>
      <c r="D320">
        <v>17095</v>
      </c>
      <c r="E320">
        <v>15919</v>
      </c>
    </row>
    <row r="321" spans="1:5" x14ac:dyDescent="0.3">
      <c r="A321" s="2">
        <v>43971</v>
      </c>
      <c r="B321" t="s">
        <v>19</v>
      </c>
      <c r="C321">
        <v>10</v>
      </c>
      <c r="D321">
        <v>745</v>
      </c>
      <c r="E321">
        <v>654</v>
      </c>
    </row>
    <row r="322" spans="1:5" x14ac:dyDescent="0.3">
      <c r="A322" s="2">
        <v>43972</v>
      </c>
      <c r="B322" t="s">
        <v>3</v>
      </c>
      <c r="C322">
        <v>36</v>
      </c>
      <c r="D322">
        <v>4816</v>
      </c>
      <c r="E322">
        <v>4452</v>
      </c>
    </row>
    <row r="323" spans="1:5" x14ac:dyDescent="0.3">
      <c r="A323" s="2">
        <v>43972</v>
      </c>
      <c r="B323" t="s">
        <v>4</v>
      </c>
      <c r="C323">
        <v>31</v>
      </c>
      <c r="D323">
        <v>5207</v>
      </c>
      <c r="E323">
        <v>4868</v>
      </c>
    </row>
    <row r="324" spans="1:5" x14ac:dyDescent="0.3">
      <c r="A324" s="2">
        <v>43972</v>
      </c>
      <c r="B324" t="s">
        <v>5</v>
      </c>
      <c r="C324">
        <v>21</v>
      </c>
      <c r="D324">
        <v>2335</v>
      </c>
      <c r="E324">
        <v>2126</v>
      </c>
    </row>
    <row r="325" spans="1:5" x14ac:dyDescent="0.3">
      <c r="A325" s="2">
        <v>43972</v>
      </c>
      <c r="B325" t="s">
        <v>6</v>
      </c>
      <c r="C325">
        <v>21</v>
      </c>
      <c r="D325">
        <v>1787</v>
      </c>
      <c r="E325">
        <v>1626</v>
      </c>
    </row>
    <row r="326" spans="1:5" x14ac:dyDescent="0.3">
      <c r="A326" s="2">
        <v>43972</v>
      </c>
      <c r="B326" t="s">
        <v>7</v>
      </c>
      <c r="C326">
        <v>19</v>
      </c>
      <c r="D326">
        <v>1650</v>
      </c>
      <c r="E326">
        <v>1505</v>
      </c>
    </row>
    <row r="327" spans="1:5" x14ac:dyDescent="0.3">
      <c r="A327" s="2">
        <v>43972</v>
      </c>
      <c r="B327" t="s">
        <v>8</v>
      </c>
      <c r="C327">
        <v>54</v>
      </c>
      <c r="D327">
        <v>13240</v>
      </c>
      <c r="E327">
        <v>12360</v>
      </c>
    </row>
    <row r="328" spans="1:5" x14ac:dyDescent="0.3">
      <c r="A328" s="2">
        <v>43972</v>
      </c>
      <c r="B328" t="s">
        <v>9</v>
      </c>
      <c r="C328">
        <v>60</v>
      </c>
      <c r="D328">
        <v>14005</v>
      </c>
      <c r="E328">
        <v>13002</v>
      </c>
    </row>
    <row r="329" spans="1:5" x14ac:dyDescent="0.3">
      <c r="A329" s="2">
        <v>43972</v>
      </c>
      <c r="B329" t="s">
        <v>10</v>
      </c>
      <c r="C329">
        <v>19</v>
      </c>
      <c r="D329">
        <v>1949</v>
      </c>
      <c r="E329">
        <v>1724</v>
      </c>
    </row>
    <row r="330" spans="1:5" x14ac:dyDescent="0.3">
      <c r="A330" s="2">
        <v>43972</v>
      </c>
      <c r="B330" t="s">
        <v>11</v>
      </c>
      <c r="C330">
        <v>18</v>
      </c>
      <c r="D330">
        <v>888</v>
      </c>
      <c r="E330">
        <v>786</v>
      </c>
    </row>
    <row r="331" spans="1:5" x14ac:dyDescent="0.3">
      <c r="A331" s="2">
        <v>43972</v>
      </c>
      <c r="B331" t="s">
        <v>12</v>
      </c>
      <c r="C331">
        <v>17</v>
      </c>
      <c r="D331">
        <v>1045</v>
      </c>
      <c r="E331">
        <v>930</v>
      </c>
    </row>
    <row r="332" spans="1:5" x14ac:dyDescent="0.3">
      <c r="A332" s="2">
        <v>43972</v>
      </c>
      <c r="B332" t="s">
        <v>13</v>
      </c>
      <c r="C332">
        <v>15</v>
      </c>
      <c r="D332">
        <v>749</v>
      </c>
      <c r="E332">
        <v>652</v>
      </c>
    </row>
    <row r="333" spans="1:5" x14ac:dyDescent="0.3">
      <c r="A333" s="2">
        <v>43972</v>
      </c>
      <c r="B333" t="s">
        <v>15</v>
      </c>
      <c r="C333">
        <v>125</v>
      </c>
      <c r="D333">
        <v>20911</v>
      </c>
      <c r="E333">
        <v>19358</v>
      </c>
    </row>
    <row r="334" spans="1:5" x14ac:dyDescent="0.3">
      <c r="A334" s="2">
        <v>43972</v>
      </c>
      <c r="B334" t="s">
        <v>16</v>
      </c>
      <c r="C334">
        <v>129</v>
      </c>
      <c r="D334">
        <v>16373</v>
      </c>
      <c r="E334">
        <v>15223</v>
      </c>
    </row>
    <row r="335" spans="1:5" x14ac:dyDescent="0.3">
      <c r="A335" s="2">
        <v>43972</v>
      </c>
      <c r="B335" t="s">
        <v>19</v>
      </c>
      <c r="C335">
        <v>10</v>
      </c>
      <c r="D335">
        <v>677</v>
      </c>
      <c r="E335">
        <v>591</v>
      </c>
    </row>
    <row r="336" spans="1:5" x14ac:dyDescent="0.3">
      <c r="A336" s="2">
        <v>43973</v>
      </c>
      <c r="B336" t="s">
        <v>3</v>
      </c>
      <c r="C336">
        <v>36</v>
      </c>
      <c r="D336">
        <v>4857</v>
      </c>
      <c r="E336">
        <v>4456</v>
      </c>
    </row>
    <row r="337" spans="1:5" x14ac:dyDescent="0.3">
      <c r="A337" s="2">
        <v>43973</v>
      </c>
      <c r="B337" t="s">
        <v>4</v>
      </c>
      <c r="C337">
        <v>31</v>
      </c>
      <c r="D337">
        <v>5965</v>
      </c>
      <c r="E337">
        <v>5533</v>
      </c>
    </row>
    <row r="338" spans="1:5" x14ac:dyDescent="0.3">
      <c r="A338" s="2">
        <v>43973</v>
      </c>
      <c r="B338" t="s">
        <v>5</v>
      </c>
      <c r="C338">
        <v>21</v>
      </c>
      <c r="D338">
        <v>2861</v>
      </c>
      <c r="E338">
        <v>2612</v>
      </c>
    </row>
    <row r="339" spans="1:5" x14ac:dyDescent="0.3">
      <c r="A339" s="2">
        <v>43973</v>
      </c>
      <c r="B339" t="s">
        <v>6</v>
      </c>
      <c r="C339">
        <v>21</v>
      </c>
      <c r="D339">
        <v>2046</v>
      </c>
      <c r="E339">
        <v>1853</v>
      </c>
    </row>
    <row r="340" spans="1:5" x14ac:dyDescent="0.3">
      <c r="A340" s="2">
        <v>43973</v>
      </c>
      <c r="B340" t="s">
        <v>7</v>
      </c>
      <c r="C340">
        <v>19</v>
      </c>
      <c r="D340">
        <v>1859</v>
      </c>
      <c r="E340">
        <v>1697</v>
      </c>
    </row>
    <row r="341" spans="1:5" x14ac:dyDescent="0.3">
      <c r="A341" s="2">
        <v>43973</v>
      </c>
      <c r="B341" t="s">
        <v>8</v>
      </c>
      <c r="C341">
        <v>54</v>
      </c>
      <c r="D341">
        <v>13014</v>
      </c>
      <c r="E341">
        <v>12095</v>
      </c>
    </row>
    <row r="342" spans="1:5" x14ac:dyDescent="0.3">
      <c r="A342" s="2">
        <v>43973</v>
      </c>
      <c r="B342" t="s">
        <v>9</v>
      </c>
      <c r="C342">
        <v>60</v>
      </c>
      <c r="D342">
        <v>14050</v>
      </c>
      <c r="E342">
        <v>13027</v>
      </c>
    </row>
    <row r="343" spans="1:5" x14ac:dyDescent="0.3">
      <c r="A343" s="2">
        <v>43973</v>
      </c>
      <c r="B343" t="s">
        <v>10</v>
      </c>
      <c r="C343">
        <v>20</v>
      </c>
      <c r="D343">
        <v>2306</v>
      </c>
      <c r="E343">
        <v>2054</v>
      </c>
    </row>
    <row r="344" spans="1:5" x14ac:dyDescent="0.3">
      <c r="A344" s="2">
        <v>43973</v>
      </c>
      <c r="B344" t="s">
        <v>11</v>
      </c>
      <c r="C344">
        <v>18</v>
      </c>
      <c r="D344">
        <v>985</v>
      </c>
      <c r="E344">
        <v>861</v>
      </c>
    </row>
    <row r="345" spans="1:5" x14ac:dyDescent="0.3">
      <c r="A345" s="2">
        <v>43973</v>
      </c>
      <c r="B345" t="s">
        <v>12</v>
      </c>
      <c r="C345">
        <v>17</v>
      </c>
      <c r="D345">
        <v>1268</v>
      </c>
      <c r="E345">
        <v>1129</v>
      </c>
    </row>
    <row r="346" spans="1:5" x14ac:dyDescent="0.3">
      <c r="A346" s="2">
        <v>43973</v>
      </c>
      <c r="B346" t="s">
        <v>13</v>
      </c>
      <c r="C346">
        <v>15</v>
      </c>
      <c r="D346">
        <v>903</v>
      </c>
      <c r="E346">
        <v>792</v>
      </c>
    </row>
    <row r="347" spans="1:5" x14ac:dyDescent="0.3">
      <c r="A347" s="2">
        <v>43973</v>
      </c>
      <c r="B347" t="s">
        <v>15</v>
      </c>
      <c r="C347">
        <v>125</v>
      </c>
      <c r="D347">
        <v>21427</v>
      </c>
      <c r="E347">
        <v>19799</v>
      </c>
    </row>
    <row r="348" spans="1:5" x14ac:dyDescent="0.3">
      <c r="A348" s="2">
        <v>43973</v>
      </c>
      <c r="B348" t="s">
        <v>16</v>
      </c>
      <c r="C348">
        <v>129</v>
      </c>
      <c r="D348">
        <v>17088</v>
      </c>
      <c r="E348">
        <v>15804</v>
      </c>
    </row>
    <row r="349" spans="1:5" x14ac:dyDescent="0.3">
      <c r="A349" s="2">
        <v>43973</v>
      </c>
      <c r="B349" t="s">
        <v>19</v>
      </c>
      <c r="C349">
        <v>10</v>
      </c>
      <c r="D349">
        <v>965</v>
      </c>
      <c r="E349">
        <v>861</v>
      </c>
    </row>
    <row r="350" spans="1:5" x14ac:dyDescent="0.3">
      <c r="A350" s="2">
        <v>43974</v>
      </c>
      <c r="B350" t="s">
        <v>3</v>
      </c>
      <c r="C350">
        <v>36</v>
      </c>
      <c r="D350">
        <v>5651</v>
      </c>
      <c r="E350">
        <v>5212</v>
      </c>
    </row>
    <row r="351" spans="1:5" x14ac:dyDescent="0.3">
      <c r="A351" s="2">
        <v>43974</v>
      </c>
      <c r="B351" t="s">
        <v>4</v>
      </c>
      <c r="C351">
        <v>31</v>
      </c>
      <c r="D351">
        <v>6276</v>
      </c>
      <c r="E351">
        <v>5801</v>
      </c>
    </row>
    <row r="352" spans="1:5" x14ac:dyDescent="0.3">
      <c r="A352" s="2">
        <v>43974</v>
      </c>
      <c r="B352" t="s">
        <v>5</v>
      </c>
      <c r="C352">
        <v>21</v>
      </c>
      <c r="D352">
        <v>2460</v>
      </c>
      <c r="E352">
        <v>2226</v>
      </c>
    </row>
    <row r="353" spans="1:5" x14ac:dyDescent="0.3">
      <c r="A353" s="2">
        <v>43974</v>
      </c>
      <c r="B353" t="s">
        <v>6</v>
      </c>
      <c r="C353">
        <v>21</v>
      </c>
      <c r="D353">
        <v>2340</v>
      </c>
      <c r="E353">
        <v>2146</v>
      </c>
    </row>
    <row r="354" spans="1:5" x14ac:dyDescent="0.3">
      <c r="A354" s="2">
        <v>43974</v>
      </c>
      <c r="B354" t="s">
        <v>7</v>
      </c>
      <c r="C354">
        <v>19</v>
      </c>
      <c r="D354">
        <v>2195</v>
      </c>
      <c r="E354">
        <v>1999</v>
      </c>
    </row>
    <row r="355" spans="1:5" x14ac:dyDescent="0.3">
      <c r="A355" s="2">
        <v>43974</v>
      </c>
      <c r="B355" t="s">
        <v>8</v>
      </c>
      <c r="C355">
        <v>54</v>
      </c>
      <c r="D355">
        <v>16221</v>
      </c>
      <c r="E355">
        <v>15065</v>
      </c>
    </row>
    <row r="356" spans="1:5" x14ac:dyDescent="0.3">
      <c r="A356" s="2">
        <v>43974</v>
      </c>
      <c r="B356" t="s">
        <v>9</v>
      </c>
      <c r="C356">
        <v>60</v>
      </c>
      <c r="D356">
        <v>17295</v>
      </c>
      <c r="E356">
        <v>16010</v>
      </c>
    </row>
    <row r="357" spans="1:5" x14ac:dyDescent="0.3">
      <c r="A357" s="2">
        <v>43974</v>
      </c>
      <c r="B357" t="s">
        <v>10</v>
      </c>
      <c r="C357">
        <v>20</v>
      </c>
      <c r="D357">
        <v>2266</v>
      </c>
      <c r="E357">
        <v>1993</v>
      </c>
    </row>
    <row r="358" spans="1:5" x14ac:dyDescent="0.3">
      <c r="A358" s="2">
        <v>43974</v>
      </c>
      <c r="B358" t="s">
        <v>11</v>
      </c>
      <c r="C358">
        <v>18</v>
      </c>
      <c r="D358">
        <v>1031</v>
      </c>
      <c r="E358">
        <v>918</v>
      </c>
    </row>
    <row r="359" spans="1:5" x14ac:dyDescent="0.3">
      <c r="A359" s="2">
        <v>43974</v>
      </c>
      <c r="B359" t="s">
        <v>12</v>
      </c>
      <c r="C359">
        <v>17</v>
      </c>
      <c r="D359">
        <v>1294</v>
      </c>
      <c r="E359">
        <v>1155</v>
      </c>
    </row>
    <row r="360" spans="1:5" x14ac:dyDescent="0.3">
      <c r="A360" s="2">
        <v>43974</v>
      </c>
      <c r="B360" t="s">
        <v>13</v>
      </c>
      <c r="C360">
        <v>15</v>
      </c>
      <c r="D360">
        <v>840</v>
      </c>
      <c r="E360">
        <v>725</v>
      </c>
    </row>
    <row r="361" spans="1:5" x14ac:dyDescent="0.3">
      <c r="A361" s="2">
        <v>43974</v>
      </c>
      <c r="B361" t="s">
        <v>15</v>
      </c>
      <c r="C361">
        <v>125</v>
      </c>
      <c r="D361">
        <v>24574</v>
      </c>
      <c r="E361">
        <v>22609</v>
      </c>
    </row>
    <row r="362" spans="1:5" x14ac:dyDescent="0.3">
      <c r="A362" s="2">
        <v>43974</v>
      </c>
      <c r="B362" t="s">
        <v>16</v>
      </c>
      <c r="C362">
        <v>129</v>
      </c>
      <c r="D362">
        <v>19856</v>
      </c>
      <c r="E362">
        <v>18325</v>
      </c>
    </row>
    <row r="363" spans="1:5" x14ac:dyDescent="0.3">
      <c r="A363" s="2">
        <v>43974</v>
      </c>
      <c r="B363" t="s">
        <v>19</v>
      </c>
      <c r="C363">
        <v>10</v>
      </c>
      <c r="D363">
        <v>828</v>
      </c>
      <c r="E363">
        <v>734</v>
      </c>
    </row>
    <row r="364" spans="1:5" x14ac:dyDescent="0.3">
      <c r="A364" s="2">
        <v>43975</v>
      </c>
      <c r="B364" t="s">
        <v>3</v>
      </c>
      <c r="C364">
        <v>36</v>
      </c>
      <c r="D364">
        <v>4915</v>
      </c>
      <c r="E364">
        <v>4562</v>
      </c>
    </row>
    <row r="365" spans="1:5" x14ac:dyDescent="0.3">
      <c r="A365" s="2">
        <v>43975</v>
      </c>
      <c r="B365" t="s">
        <v>4</v>
      </c>
      <c r="C365">
        <v>31</v>
      </c>
      <c r="D365">
        <v>5035</v>
      </c>
      <c r="E365">
        <v>4683</v>
      </c>
    </row>
    <row r="366" spans="1:5" x14ac:dyDescent="0.3">
      <c r="A366" s="2">
        <v>43975</v>
      </c>
      <c r="B366" t="s">
        <v>5</v>
      </c>
      <c r="C366">
        <v>21</v>
      </c>
      <c r="D366">
        <v>2254</v>
      </c>
      <c r="E366">
        <v>2061</v>
      </c>
    </row>
    <row r="367" spans="1:5" x14ac:dyDescent="0.3">
      <c r="A367" s="2">
        <v>43975</v>
      </c>
      <c r="B367" t="s">
        <v>6</v>
      </c>
      <c r="C367">
        <v>20</v>
      </c>
      <c r="D367">
        <v>1999</v>
      </c>
      <c r="E367">
        <v>1829</v>
      </c>
    </row>
    <row r="368" spans="1:5" x14ac:dyDescent="0.3">
      <c r="A368" s="2">
        <v>43975</v>
      </c>
      <c r="B368" t="s">
        <v>7</v>
      </c>
      <c r="C368">
        <v>19</v>
      </c>
      <c r="D368">
        <v>1868</v>
      </c>
      <c r="E368">
        <v>1706</v>
      </c>
    </row>
    <row r="369" spans="1:5" x14ac:dyDescent="0.3">
      <c r="A369" s="2">
        <v>43975</v>
      </c>
      <c r="B369" t="s">
        <v>8</v>
      </c>
      <c r="C369">
        <v>54</v>
      </c>
      <c r="D369">
        <v>12211</v>
      </c>
      <c r="E369">
        <v>11427</v>
      </c>
    </row>
    <row r="370" spans="1:5" x14ac:dyDescent="0.3">
      <c r="A370" s="2">
        <v>43975</v>
      </c>
      <c r="B370" t="s">
        <v>9</v>
      </c>
      <c r="C370">
        <v>60</v>
      </c>
      <c r="D370">
        <v>12822</v>
      </c>
      <c r="E370">
        <v>11916</v>
      </c>
    </row>
    <row r="371" spans="1:5" x14ac:dyDescent="0.3">
      <c r="A371" s="2">
        <v>43975</v>
      </c>
      <c r="B371" t="s">
        <v>10</v>
      </c>
      <c r="C371">
        <v>20</v>
      </c>
      <c r="D371">
        <v>2015</v>
      </c>
      <c r="E371">
        <v>1803</v>
      </c>
    </row>
    <row r="372" spans="1:5" x14ac:dyDescent="0.3">
      <c r="A372" s="2">
        <v>43975</v>
      </c>
      <c r="B372" t="s">
        <v>11</v>
      </c>
      <c r="C372">
        <v>18</v>
      </c>
      <c r="D372">
        <v>1006</v>
      </c>
      <c r="E372">
        <v>904</v>
      </c>
    </row>
    <row r="373" spans="1:5" x14ac:dyDescent="0.3">
      <c r="A373" s="2">
        <v>43975</v>
      </c>
      <c r="B373" t="s">
        <v>12</v>
      </c>
      <c r="C373">
        <v>17</v>
      </c>
      <c r="D373">
        <v>1128</v>
      </c>
      <c r="E373">
        <v>1001</v>
      </c>
    </row>
    <row r="374" spans="1:5" x14ac:dyDescent="0.3">
      <c r="A374" s="2">
        <v>43975</v>
      </c>
      <c r="B374" t="s">
        <v>13</v>
      </c>
      <c r="C374">
        <v>15</v>
      </c>
      <c r="D374">
        <v>779</v>
      </c>
      <c r="E374">
        <v>673</v>
      </c>
    </row>
    <row r="375" spans="1:5" x14ac:dyDescent="0.3">
      <c r="A375" s="2">
        <v>43975</v>
      </c>
      <c r="B375" t="s">
        <v>15</v>
      </c>
      <c r="C375">
        <v>125</v>
      </c>
      <c r="D375">
        <v>21004</v>
      </c>
      <c r="E375">
        <v>19556</v>
      </c>
    </row>
    <row r="376" spans="1:5" x14ac:dyDescent="0.3">
      <c r="A376" s="2">
        <v>43975</v>
      </c>
      <c r="B376" t="s">
        <v>16</v>
      </c>
      <c r="C376">
        <v>129</v>
      </c>
      <c r="D376">
        <v>16432</v>
      </c>
      <c r="E376">
        <v>15345</v>
      </c>
    </row>
    <row r="377" spans="1:5" x14ac:dyDescent="0.3">
      <c r="A377" s="2">
        <v>43975</v>
      </c>
      <c r="B377" t="s">
        <v>19</v>
      </c>
      <c r="C377">
        <v>10</v>
      </c>
      <c r="D377">
        <v>639</v>
      </c>
      <c r="E377">
        <v>557</v>
      </c>
    </row>
    <row r="378" spans="1:5" x14ac:dyDescent="0.3">
      <c r="A378" s="2">
        <v>43976</v>
      </c>
      <c r="B378" t="s">
        <v>3</v>
      </c>
      <c r="C378">
        <v>36</v>
      </c>
      <c r="D378">
        <v>4641</v>
      </c>
      <c r="E378">
        <v>4274</v>
      </c>
    </row>
    <row r="379" spans="1:5" x14ac:dyDescent="0.3">
      <c r="A379" s="2">
        <v>43976</v>
      </c>
      <c r="B379" t="s">
        <v>4</v>
      </c>
      <c r="C379">
        <v>31</v>
      </c>
      <c r="D379">
        <v>5210</v>
      </c>
      <c r="E379">
        <v>4841</v>
      </c>
    </row>
    <row r="380" spans="1:5" x14ac:dyDescent="0.3">
      <c r="A380" s="2">
        <v>43976</v>
      </c>
      <c r="B380" t="s">
        <v>5</v>
      </c>
      <c r="C380">
        <v>21</v>
      </c>
      <c r="D380">
        <v>2330</v>
      </c>
      <c r="E380">
        <v>2142</v>
      </c>
    </row>
    <row r="381" spans="1:5" x14ac:dyDescent="0.3">
      <c r="A381" s="2">
        <v>43976</v>
      </c>
      <c r="B381" t="s">
        <v>6</v>
      </c>
      <c r="C381">
        <v>20</v>
      </c>
      <c r="D381">
        <v>2087</v>
      </c>
      <c r="E381">
        <v>1914</v>
      </c>
    </row>
    <row r="382" spans="1:5" x14ac:dyDescent="0.3">
      <c r="A382" s="2">
        <v>43976</v>
      </c>
      <c r="B382" t="s">
        <v>7</v>
      </c>
      <c r="C382">
        <v>20</v>
      </c>
      <c r="D382">
        <v>1899</v>
      </c>
      <c r="E382">
        <v>1738</v>
      </c>
    </row>
    <row r="383" spans="1:5" x14ac:dyDescent="0.3">
      <c r="A383" s="2">
        <v>43976</v>
      </c>
      <c r="B383" t="s">
        <v>8</v>
      </c>
      <c r="C383">
        <v>54</v>
      </c>
      <c r="D383">
        <v>12336</v>
      </c>
      <c r="E383">
        <v>11519</v>
      </c>
    </row>
    <row r="384" spans="1:5" x14ac:dyDescent="0.3">
      <c r="A384" s="2">
        <v>43976</v>
      </c>
      <c r="B384" t="s">
        <v>9</v>
      </c>
      <c r="C384">
        <v>59</v>
      </c>
      <c r="D384">
        <v>12983</v>
      </c>
      <c r="E384">
        <v>12056</v>
      </c>
    </row>
    <row r="385" spans="1:5" x14ac:dyDescent="0.3">
      <c r="A385" s="2">
        <v>43976</v>
      </c>
      <c r="B385" t="s">
        <v>10</v>
      </c>
      <c r="C385">
        <v>20</v>
      </c>
      <c r="D385">
        <v>2011</v>
      </c>
      <c r="E385">
        <v>1791</v>
      </c>
    </row>
    <row r="386" spans="1:5" x14ac:dyDescent="0.3">
      <c r="A386" s="2">
        <v>43976</v>
      </c>
      <c r="B386" t="s">
        <v>11</v>
      </c>
      <c r="C386">
        <v>18</v>
      </c>
      <c r="D386">
        <v>989</v>
      </c>
      <c r="E386">
        <v>887</v>
      </c>
    </row>
    <row r="387" spans="1:5" x14ac:dyDescent="0.3">
      <c r="A387" s="2">
        <v>43976</v>
      </c>
      <c r="B387" t="s">
        <v>12</v>
      </c>
      <c r="C387">
        <v>17</v>
      </c>
      <c r="D387">
        <v>1142</v>
      </c>
      <c r="E387">
        <v>1020</v>
      </c>
    </row>
    <row r="388" spans="1:5" x14ac:dyDescent="0.3">
      <c r="A388" s="2">
        <v>43976</v>
      </c>
      <c r="B388" t="s">
        <v>13</v>
      </c>
      <c r="C388">
        <v>15</v>
      </c>
      <c r="D388">
        <v>835</v>
      </c>
      <c r="E388">
        <v>736</v>
      </c>
    </row>
    <row r="389" spans="1:5" x14ac:dyDescent="0.3">
      <c r="A389" s="2">
        <v>43976</v>
      </c>
      <c r="B389" t="s">
        <v>15</v>
      </c>
      <c r="C389">
        <v>124</v>
      </c>
      <c r="D389">
        <v>20358</v>
      </c>
      <c r="E389">
        <v>18890</v>
      </c>
    </row>
    <row r="390" spans="1:5" x14ac:dyDescent="0.3">
      <c r="A390" s="2">
        <v>43976</v>
      </c>
      <c r="B390" t="s">
        <v>16</v>
      </c>
      <c r="C390">
        <v>129</v>
      </c>
      <c r="D390">
        <v>15822</v>
      </c>
      <c r="E390">
        <v>14753</v>
      </c>
    </row>
    <row r="391" spans="1:5" x14ac:dyDescent="0.3">
      <c r="A391" s="2">
        <v>43976</v>
      </c>
      <c r="B391" t="s">
        <v>19</v>
      </c>
      <c r="C391">
        <v>10</v>
      </c>
      <c r="D391">
        <v>739</v>
      </c>
      <c r="E391">
        <v>642</v>
      </c>
    </row>
    <row r="392" spans="1:5" x14ac:dyDescent="0.3">
      <c r="A392" s="2">
        <v>43977</v>
      </c>
      <c r="B392" t="s">
        <v>3</v>
      </c>
      <c r="C392">
        <v>36</v>
      </c>
      <c r="D392">
        <v>4770</v>
      </c>
      <c r="E392">
        <v>4424</v>
      </c>
    </row>
    <row r="393" spans="1:5" x14ac:dyDescent="0.3">
      <c r="A393" s="2">
        <v>43977</v>
      </c>
      <c r="B393" t="s">
        <v>4</v>
      </c>
      <c r="C393">
        <v>31</v>
      </c>
      <c r="D393">
        <v>5493</v>
      </c>
      <c r="E393">
        <v>5119</v>
      </c>
    </row>
    <row r="394" spans="1:5" x14ac:dyDescent="0.3">
      <c r="A394" s="2">
        <v>43977</v>
      </c>
      <c r="B394" t="s">
        <v>5</v>
      </c>
      <c r="C394">
        <v>21</v>
      </c>
      <c r="D394">
        <v>2418</v>
      </c>
      <c r="E394">
        <v>2215</v>
      </c>
    </row>
    <row r="395" spans="1:5" x14ac:dyDescent="0.3">
      <c r="A395" s="2">
        <v>43977</v>
      </c>
      <c r="B395" t="s">
        <v>6</v>
      </c>
      <c r="C395">
        <v>20</v>
      </c>
      <c r="D395">
        <v>2044</v>
      </c>
      <c r="E395">
        <v>1863</v>
      </c>
    </row>
    <row r="396" spans="1:5" x14ac:dyDescent="0.3">
      <c r="A396" s="2">
        <v>43977</v>
      </c>
      <c r="B396" t="s">
        <v>7</v>
      </c>
      <c r="C396">
        <v>20</v>
      </c>
      <c r="D396">
        <v>1814</v>
      </c>
      <c r="E396">
        <v>1655</v>
      </c>
    </row>
    <row r="397" spans="1:5" x14ac:dyDescent="0.3">
      <c r="A397" s="2">
        <v>43977</v>
      </c>
      <c r="B397" t="s">
        <v>8</v>
      </c>
      <c r="C397">
        <v>54</v>
      </c>
      <c r="D397">
        <v>14482</v>
      </c>
      <c r="E397">
        <v>13510</v>
      </c>
    </row>
    <row r="398" spans="1:5" x14ac:dyDescent="0.3">
      <c r="A398" s="2">
        <v>43977</v>
      </c>
      <c r="B398" t="s">
        <v>9</v>
      </c>
      <c r="C398">
        <v>59</v>
      </c>
      <c r="D398">
        <v>15369</v>
      </c>
      <c r="E398">
        <v>14299</v>
      </c>
    </row>
    <row r="399" spans="1:5" x14ac:dyDescent="0.3">
      <c r="A399" s="2">
        <v>43977</v>
      </c>
      <c r="B399" t="s">
        <v>10</v>
      </c>
      <c r="C399">
        <v>20</v>
      </c>
      <c r="D399">
        <v>2036</v>
      </c>
      <c r="E399">
        <v>1790</v>
      </c>
    </row>
    <row r="400" spans="1:5" x14ac:dyDescent="0.3">
      <c r="A400" s="2">
        <v>43977</v>
      </c>
      <c r="B400" t="s">
        <v>11</v>
      </c>
      <c r="C400">
        <v>18</v>
      </c>
      <c r="D400">
        <v>914</v>
      </c>
      <c r="E400">
        <v>804</v>
      </c>
    </row>
    <row r="401" spans="1:5" x14ac:dyDescent="0.3">
      <c r="A401" s="2">
        <v>43977</v>
      </c>
      <c r="B401" t="s">
        <v>12</v>
      </c>
      <c r="C401">
        <v>17</v>
      </c>
      <c r="D401">
        <v>1140</v>
      </c>
      <c r="E401">
        <v>1016</v>
      </c>
    </row>
    <row r="402" spans="1:5" x14ac:dyDescent="0.3">
      <c r="A402" s="2">
        <v>43977</v>
      </c>
      <c r="B402" t="s">
        <v>13</v>
      </c>
      <c r="C402">
        <v>15</v>
      </c>
      <c r="D402">
        <v>812</v>
      </c>
      <c r="E402">
        <v>711</v>
      </c>
    </row>
    <row r="403" spans="1:5" x14ac:dyDescent="0.3">
      <c r="A403" s="2">
        <v>43977</v>
      </c>
      <c r="B403" t="s">
        <v>15</v>
      </c>
      <c r="C403">
        <v>124</v>
      </c>
      <c r="D403">
        <v>21153</v>
      </c>
      <c r="E403">
        <v>19673</v>
      </c>
    </row>
    <row r="404" spans="1:5" x14ac:dyDescent="0.3">
      <c r="A404" s="2">
        <v>43977</v>
      </c>
      <c r="B404" t="s">
        <v>16</v>
      </c>
      <c r="C404">
        <v>129</v>
      </c>
      <c r="D404">
        <v>16459</v>
      </c>
      <c r="E404">
        <v>15355</v>
      </c>
    </row>
    <row r="405" spans="1:5" x14ac:dyDescent="0.3">
      <c r="A405" s="2">
        <v>43977</v>
      </c>
      <c r="B405" t="s">
        <v>19</v>
      </c>
      <c r="C405">
        <v>10</v>
      </c>
      <c r="D405">
        <v>692</v>
      </c>
      <c r="E405">
        <v>601</v>
      </c>
    </row>
    <row r="406" spans="1:5" x14ac:dyDescent="0.3">
      <c r="A406" s="2">
        <v>43977</v>
      </c>
      <c r="B406" t="s">
        <v>18</v>
      </c>
      <c r="C406">
        <v>7</v>
      </c>
      <c r="D406">
        <v>577</v>
      </c>
      <c r="E406">
        <v>389</v>
      </c>
    </row>
    <row r="407" spans="1:5" x14ac:dyDescent="0.3">
      <c r="A407" s="2">
        <v>43978</v>
      </c>
      <c r="B407" t="s">
        <v>3</v>
      </c>
      <c r="C407">
        <v>36</v>
      </c>
      <c r="D407">
        <v>4951</v>
      </c>
      <c r="E407">
        <v>4584</v>
      </c>
    </row>
    <row r="408" spans="1:5" x14ac:dyDescent="0.3">
      <c r="A408" s="2">
        <v>43978</v>
      </c>
      <c r="B408" t="s">
        <v>4</v>
      </c>
      <c r="C408">
        <v>31</v>
      </c>
      <c r="D408">
        <v>5330</v>
      </c>
      <c r="E408">
        <v>4977</v>
      </c>
    </row>
    <row r="409" spans="1:5" x14ac:dyDescent="0.3">
      <c r="A409" s="2">
        <v>43978</v>
      </c>
      <c r="B409" t="s">
        <v>5</v>
      </c>
      <c r="C409">
        <v>21</v>
      </c>
      <c r="D409">
        <v>2430</v>
      </c>
      <c r="E409">
        <v>2216</v>
      </c>
    </row>
    <row r="410" spans="1:5" x14ac:dyDescent="0.3">
      <c r="A410" s="2">
        <v>43978</v>
      </c>
      <c r="B410" t="s">
        <v>6</v>
      </c>
      <c r="C410">
        <v>20</v>
      </c>
      <c r="D410">
        <v>2079</v>
      </c>
      <c r="E410">
        <v>1893</v>
      </c>
    </row>
    <row r="411" spans="1:5" x14ac:dyDescent="0.3">
      <c r="A411" s="2">
        <v>43978</v>
      </c>
      <c r="B411" t="s">
        <v>7</v>
      </c>
      <c r="C411">
        <v>20</v>
      </c>
      <c r="D411">
        <v>1873</v>
      </c>
      <c r="E411">
        <v>1715</v>
      </c>
    </row>
    <row r="412" spans="1:5" x14ac:dyDescent="0.3">
      <c r="A412" s="2">
        <v>43978</v>
      </c>
      <c r="B412" t="s">
        <v>8</v>
      </c>
      <c r="C412">
        <v>54</v>
      </c>
      <c r="D412">
        <v>13091</v>
      </c>
      <c r="E412">
        <v>12216</v>
      </c>
    </row>
    <row r="413" spans="1:5" x14ac:dyDescent="0.3">
      <c r="A413" s="2">
        <v>43978</v>
      </c>
      <c r="B413" t="s">
        <v>9</v>
      </c>
      <c r="C413">
        <v>59</v>
      </c>
      <c r="D413">
        <v>13942</v>
      </c>
      <c r="E413">
        <v>12986</v>
      </c>
    </row>
    <row r="414" spans="1:5" x14ac:dyDescent="0.3">
      <c r="A414" s="2">
        <v>43978</v>
      </c>
      <c r="B414" t="s">
        <v>10</v>
      </c>
      <c r="C414">
        <v>20</v>
      </c>
      <c r="D414">
        <v>2079</v>
      </c>
      <c r="E414">
        <v>1856</v>
      </c>
    </row>
    <row r="415" spans="1:5" x14ac:dyDescent="0.3">
      <c r="A415" s="2">
        <v>43978</v>
      </c>
      <c r="B415" t="s">
        <v>11</v>
      </c>
      <c r="C415">
        <v>18</v>
      </c>
      <c r="D415">
        <v>962</v>
      </c>
      <c r="E415">
        <v>859</v>
      </c>
    </row>
    <row r="416" spans="1:5" x14ac:dyDescent="0.3">
      <c r="A416" s="2">
        <v>43978</v>
      </c>
      <c r="B416" t="s">
        <v>12</v>
      </c>
      <c r="C416">
        <v>17</v>
      </c>
      <c r="D416">
        <v>1203</v>
      </c>
      <c r="E416">
        <v>1077</v>
      </c>
    </row>
    <row r="417" spans="1:5" x14ac:dyDescent="0.3">
      <c r="A417" s="2">
        <v>43978</v>
      </c>
      <c r="B417" t="s">
        <v>13</v>
      </c>
      <c r="C417">
        <v>15</v>
      </c>
      <c r="D417">
        <v>809</v>
      </c>
      <c r="E417">
        <v>702</v>
      </c>
    </row>
    <row r="418" spans="1:5" x14ac:dyDescent="0.3">
      <c r="A418" s="2">
        <v>43978</v>
      </c>
      <c r="B418" t="s">
        <v>15</v>
      </c>
      <c r="C418">
        <v>124</v>
      </c>
      <c r="D418">
        <v>21384</v>
      </c>
      <c r="E418">
        <v>19897</v>
      </c>
    </row>
    <row r="419" spans="1:5" x14ac:dyDescent="0.3">
      <c r="A419" s="2">
        <v>43978</v>
      </c>
      <c r="B419" t="s">
        <v>16</v>
      </c>
      <c r="C419">
        <v>129</v>
      </c>
      <c r="D419">
        <v>17115</v>
      </c>
      <c r="E419">
        <v>15962</v>
      </c>
    </row>
    <row r="420" spans="1:5" x14ac:dyDescent="0.3">
      <c r="A420" s="2">
        <v>43978</v>
      </c>
      <c r="B420" t="s">
        <v>19</v>
      </c>
      <c r="C420">
        <v>10</v>
      </c>
      <c r="D420">
        <v>757</v>
      </c>
      <c r="E420">
        <v>660</v>
      </c>
    </row>
    <row r="421" spans="1:5" x14ac:dyDescent="0.3">
      <c r="A421" s="2">
        <v>43978</v>
      </c>
      <c r="B421" t="s">
        <v>18</v>
      </c>
      <c r="C421">
        <v>7</v>
      </c>
      <c r="D421">
        <v>409</v>
      </c>
      <c r="E421">
        <v>329</v>
      </c>
    </row>
    <row r="422" spans="1:5" x14ac:dyDescent="0.3">
      <c r="A422" s="2">
        <v>43979</v>
      </c>
      <c r="B422" t="s">
        <v>3</v>
      </c>
      <c r="C422">
        <v>37</v>
      </c>
      <c r="D422">
        <v>4840</v>
      </c>
      <c r="E422">
        <v>4475</v>
      </c>
    </row>
    <row r="423" spans="1:5" x14ac:dyDescent="0.3">
      <c r="A423" s="2">
        <v>43979</v>
      </c>
      <c r="B423" t="s">
        <v>4</v>
      </c>
      <c r="C423">
        <v>31</v>
      </c>
      <c r="D423">
        <v>5355</v>
      </c>
      <c r="E423">
        <v>4969</v>
      </c>
    </row>
    <row r="424" spans="1:5" x14ac:dyDescent="0.3">
      <c r="A424" s="2">
        <v>43979</v>
      </c>
      <c r="B424" t="s">
        <v>5</v>
      </c>
      <c r="C424">
        <v>22</v>
      </c>
      <c r="D424">
        <v>2454</v>
      </c>
      <c r="E424">
        <v>2239</v>
      </c>
    </row>
    <row r="425" spans="1:5" x14ac:dyDescent="0.3">
      <c r="A425" s="2">
        <v>43979</v>
      </c>
      <c r="B425" t="s">
        <v>6</v>
      </c>
      <c r="C425">
        <v>20</v>
      </c>
      <c r="D425">
        <v>1886</v>
      </c>
      <c r="E425">
        <v>1736</v>
      </c>
    </row>
    <row r="426" spans="1:5" x14ac:dyDescent="0.3">
      <c r="A426" s="2">
        <v>43979</v>
      </c>
      <c r="B426" t="s">
        <v>7</v>
      </c>
      <c r="C426">
        <v>20</v>
      </c>
      <c r="D426">
        <v>1875</v>
      </c>
      <c r="E426">
        <v>1701</v>
      </c>
    </row>
    <row r="427" spans="1:5" x14ac:dyDescent="0.3">
      <c r="A427" s="2">
        <v>43979</v>
      </c>
      <c r="B427" t="s">
        <v>8</v>
      </c>
      <c r="C427">
        <v>54</v>
      </c>
      <c r="D427">
        <v>12409</v>
      </c>
      <c r="E427">
        <v>11582</v>
      </c>
    </row>
    <row r="428" spans="1:5" x14ac:dyDescent="0.3">
      <c r="A428" s="2">
        <v>43979</v>
      </c>
      <c r="B428" t="s">
        <v>9</v>
      </c>
      <c r="C428">
        <v>60</v>
      </c>
      <c r="D428">
        <v>12854</v>
      </c>
      <c r="E428">
        <v>11954</v>
      </c>
    </row>
    <row r="429" spans="1:5" x14ac:dyDescent="0.3">
      <c r="A429" s="2">
        <v>43979</v>
      </c>
      <c r="B429" t="s">
        <v>10</v>
      </c>
      <c r="C429">
        <v>20</v>
      </c>
      <c r="D429">
        <v>2088</v>
      </c>
      <c r="E429">
        <v>1848</v>
      </c>
    </row>
    <row r="430" spans="1:5" x14ac:dyDescent="0.3">
      <c r="A430" s="2">
        <v>43979</v>
      </c>
      <c r="B430" t="s">
        <v>11</v>
      </c>
      <c r="C430">
        <v>18</v>
      </c>
      <c r="D430">
        <v>1020</v>
      </c>
      <c r="E430">
        <v>911</v>
      </c>
    </row>
    <row r="431" spans="1:5" x14ac:dyDescent="0.3">
      <c r="A431" s="2">
        <v>43979</v>
      </c>
      <c r="B431" t="s">
        <v>12</v>
      </c>
      <c r="C431">
        <v>17</v>
      </c>
      <c r="D431">
        <v>1097</v>
      </c>
      <c r="E431">
        <v>968</v>
      </c>
    </row>
    <row r="432" spans="1:5" x14ac:dyDescent="0.3">
      <c r="A432" s="2">
        <v>43979</v>
      </c>
      <c r="B432" t="s">
        <v>13</v>
      </c>
      <c r="C432">
        <v>16</v>
      </c>
      <c r="D432">
        <v>876</v>
      </c>
      <c r="E432">
        <v>762</v>
      </c>
    </row>
    <row r="433" spans="1:5" x14ac:dyDescent="0.3">
      <c r="A433" s="2">
        <v>43979</v>
      </c>
      <c r="B433" t="s">
        <v>14</v>
      </c>
      <c r="C433">
        <v>15</v>
      </c>
      <c r="D433">
        <v>464</v>
      </c>
      <c r="E433">
        <v>390</v>
      </c>
    </row>
    <row r="434" spans="1:5" x14ac:dyDescent="0.3">
      <c r="A434" s="2">
        <v>43979</v>
      </c>
      <c r="B434" t="s">
        <v>15</v>
      </c>
      <c r="C434">
        <v>124</v>
      </c>
      <c r="D434">
        <v>20868</v>
      </c>
      <c r="E434">
        <v>19342</v>
      </c>
    </row>
    <row r="435" spans="1:5" x14ac:dyDescent="0.3">
      <c r="A435" s="2">
        <v>43979</v>
      </c>
      <c r="B435" t="s">
        <v>16</v>
      </c>
      <c r="C435">
        <v>129</v>
      </c>
      <c r="D435">
        <v>16453</v>
      </c>
      <c r="E435">
        <v>15289</v>
      </c>
    </row>
    <row r="436" spans="1:5" x14ac:dyDescent="0.3">
      <c r="A436" s="2">
        <v>43979</v>
      </c>
      <c r="B436" t="s">
        <v>19</v>
      </c>
      <c r="C436">
        <v>10</v>
      </c>
      <c r="D436">
        <v>791</v>
      </c>
      <c r="E436">
        <v>697</v>
      </c>
    </row>
    <row r="437" spans="1:5" x14ac:dyDescent="0.3">
      <c r="A437" s="2">
        <v>43979</v>
      </c>
      <c r="B437" t="s">
        <v>18</v>
      </c>
      <c r="C437">
        <v>7</v>
      </c>
      <c r="D437">
        <v>420</v>
      </c>
      <c r="E437">
        <v>347</v>
      </c>
    </row>
    <row r="438" spans="1:5" x14ac:dyDescent="0.3">
      <c r="A438" s="2">
        <v>43980</v>
      </c>
      <c r="B438" t="s">
        <v>3</v>
      </c>
      <c r="C438">
        <v>37</v>
      </c>
      <c r="D438">
        <v>5672</v>
      </c>
      <c r="E438">
        <v>5198</v>
      </c>
    </row>
    <row r="439" spans="1:5" x14ac:dyDescent="0.3">
      <c r="A439" s="2">
        <v>43980</v>
      </c>
      <c r="B439" t="s">
        <v>4</v>
      </c>
      <c r="C439">
        <v>31</v>
      </c>
      <c r="D439">
        <v>5751</v>
      </c>
      <c r="E439">
        <v>5319</v>
      </c>
    </row>
    <row r="440" spans="1:5" x14ac:dyDescent="0.3">
      <c r="A440" s="2">
        <v>43980</v>
      </c>
      <c r="B440" t="s">
        <v>5</v>
      </c>
      <c r="C440">
        <v>22</v>
      </c>
      <c r="D440">
        <v>2597</v>
      </c>
      <c r="E440">
        <v>2379</v>
      </c>
    </row>
    <row r="441" spans="1:5" x14ac:dyDescent="0.3">
      <c r="A441" s="2">
        <v>43980</v>
      </c>
      <c r="B441" t="s">
        <v>6</v>
      </c>
      <c r="C441">
        <v>20</v>
      </c>
      <c r="D441">
        <v>2111</v>
      </c>
      <c r="E441">
        <v>1917</v>
      </c>
    </row>
    <row r="442" spans="1:5" x14ac:dyDescent="0.3">
      <c r="A442" s="2">
        <v>43980</v>
      </c>
      <c r="B442" t="s">
        <v>7</v>
      </c>
      <c r="C442">
        <v>20</v>
      </c>
      <c r="D442">
        <v>2064</v>
      </c>
      <c r="E442">
        <v>1896</v>
      </c>
    </row>
    <row r="443" spans="1:5" x14ac:dyDescent="0.3">
      <c r="A443" s="2">
        <v>43980</v>
      </c>
      <c r="B443" t="s">
        <v>8</v>
      </c>
      <c r="C443">
        <v>54</v>
      </c>
      <c r="D443">
        <v>14031</v>
      </c>
      <c r="E443">
        <v>12943</v>
      </c>
    </row>
    <row r="444" spans="1:5" x14ac:dyDescent="0.3">
      <c r="A444" s="2">
        <v>43980</v>
      </c>
      <c r="B444" t="s">
        <v>9</v>
      </c>
      <c r="C444">
        <v>59</v>
      </c>
      <c r="D444">
        <v>14507</v>
      </c>
      <c r="E444">
        <v>13386</v>
      </c>
    </row>
    <row r="445" spans="1:5" x14ac:dyDescent="0.3">
      <c r="A445" s="2">
        <v>43980</v>
      </c>
      <c r="B445" t="s">
        <v>10</v>
      </c>
      <c r="C445">
        <v>20</v>
      </c>
      <c r="D445">
        <v>2249</v>
      </c>
      <c r="E445">
        <v>2000</v>
      </c>
    </row>
    <row r="446" spans="1:5" x14ac:dyDescent="0.3">
      <c r="A446" s="2">
        <v>43980</v>
      </c>
      <c r="B446" t="s">
        <v>11</v>
      </c>
      <c r="C446">
        <v>18</v>
      </c>
      <c r="D446">
        <v>1014</v>
      </c>
      <c r="E446">
        <v>893</v>
      </c>
    </row>
    <row r="447" spans="1:5" x14ac:dyDescent="0.3">
      <c r="A447" s="2">
        <v>43980</v>
      </c>
      <c r="B447" t="s">
        <v>12</v>
      </c>
      <c r="C447">
        <v>17</v>
      </c>
      <c r="D447">
        <v>1296</v>
      </c>
      <c r="E447">
        <v>1153</v>
      </c>
    </row>
    <row r="448" spans="1:5" x14ac:dyDescent="0.3">
      <c r="A448" s="2">
        <v>43980</v>
      </c>
      <c r="B448" t="s">
        <v>13</v>
      </c>
      <c r="C448">
        <v>16</v>
      </c>
      <c r="D448">
        <v>981</v>
      </c>
      <c r="E448">
        <v>859</v>
      </c>
    </row>
    <row r="449" spans="1:5" x14ac:dyDescent="0.3">
      <c r="A449" s="2">
        <v>43980</v>
      </c>
      <c r="B449" t="s">
        <v>14</v>
      </c>
      <c r="C449">
        <v>15</v>
      </c>
      <c r="D449">
        <v>400</v>
      </c>
      <c r="E449">
        <v>329</v>
      </c>
    </row>
    <row r="450" spans="1:5" x14ac:dyDescent="0.3">
      <c r="A450" s="2">
        <v>43980</v>
      </c>
      <c r="B450" t="s">
        <v>15</v>
      </c>
      <c r="C450">
        <v>124</v>
      </c>
      <c r="D450">
        <v>25828</v>
      </c>
      <c r="E450">
        <v>23974</v>
      </c>
    </row>
    <row r="451" spans="1:5" x14ac:dyDescent="0.3">
      <c r="A451" s="2">
        <v>43980</v>
      </c>
      <c r="B451" t="s">
        <v>16</v>
      </c>
      <c r="C451">
        <v>129</v>
      </c>
      <c r="D451">
        <v>22403</v>
      </c>
      <c r="E451">
        <v>20676</v>
      </c>
    </row>
    <row r="452" spans="1:5" x14ac:dyDescent="0.3">
      <c r="A452" s="2">
        <v>43980</v>
      </c>
      <c r="B452" t="s">
        <v>19</v>
      </c>
      <c r="C452">
        <v>10</v>
      </c>
      <c r="D452">
        <v>873</v>
      </c>
      <c r="E452">
        <v>770</v>
      </c>
    </row>
    <row r="453" spans="1:5" x14ac:dyDescent="0.3">
      <c r="A453" s="2">
        <v>43980</v>
      </c>
      <c r="B453" t="s">
        <v>18</v>
      </c>
      <c r="C453">
        <v>7</v>
      </c>
      <c r="D453">
        <v>491</v>
      </c>
      <c r="E453">
        <v>411</v>
      </c>
    </row>
    <row r="454" spans="1:5" x14ac:dyDescent="0.3">
      <c r="A454" s="2">
        <v>43981</v>
      </c>
      <c r="B454" t="s">
        <v>3</v>
      </c>
      <c r="C454">
        <v>37</v>
      </c>
      <c r="D454">
        <v>6645</v>
      </c>
      <c r="E454">
        <v>6122</v>
      </c>
    </row>
    <row r="455" spans="1:5" x14ac:dyDescent="0.3">
      <c r="A455" s="2">
        <v>43981</v>
      </c>
      <c r="B455" t="s">
        <v>4</v>
      </c>
      <c r="C455">
        <v>31</v>
      </c>
      <c r="D455">
        <v>6735</v>
      </c>
      <c r="E455">
        <v>6264</v>
      </c>
    </row>
    <row r="456" spans="1:5" x14ac:dyDescent="0.3">
      <c r="A456" s="2">
        <v>43981</v>
      </c>
      <c r="B456" t="s">
        <v>5</v>
      </c>
      <c r="C456">
        <v>22</v>
      </c>
      <c r="D456">
        <v>2793</v>
      </c>
      <c r="E456">
        <v>2539</v>
      </c>
    </row>
    <row r="457" spans="1:5" x14ac:dyDescent="0.3">
      <c r="A457" s="2">
        <v>43981</v>
      </c>
      <c r="B457" t="s">
        <v>6</v>
      </c>
      <c r="C457">
        <v>20</v>
      </c>
      <c r="D457">
        <v>2597</v>
      </c>
      <c r="E457">
        <v>2376</v>
      </c>
    </row>
    <row r="458" spans="1:5" x14ac:dyDescent="0.3">
      <c r="A458" s="2">
        <v>43981</v>
      </c>
      <c r="B458" t="s">
        <v>7</v>
      </c>
      <c r="C458">
        <v>20</v>
      </c>
      <c r="D458">
        <v>2174</v>
      </c>
      <c r="E458">
        <v>1957</v>
      </c>
    </row>
    <row r="459" spans="1:5" x14ac:dyDescent="0.3">
      <c r="A459" s="2">
        <v>43981</v>
      </c>
      <c r="B459" t="s">
        <v>8</v>
      </c>
      <c r="C459">
        <v>54</v>
      </c>
      <c r="D459">
        <v>14590</v>
      </c>
      <c r="E459">
        <v>13551</v>
      </c>
    </row>
    <row r="460" spans="1:5" x14ac:dyDescent="0.3">
      <c r="A460" s="2">
        <v>43981</v>
      </c>
      <c r="B460" t="s">
        <v>9</v>
      </c>
      <c r="C460">
        <v>59</v>
      </c>
      <c r="D460">
        <v>15030</v>
      </c>
      <c r="E460">
        <v>13956</v>
      </c>
    </row>
    <row r="461" spans="1:5" x14ac:dyDescent="0.3">
      <c r="A461" s="2">
        <v>43981</v>
      </c>
      <c r="B461" t="s">
        <v>10</v>
      </c>
      <c r="C461">
        <v>20</v>
      </c>
      <c r="D461">
        <v>2451</v>
      </c>
      <c r="E461">
        <v>2178</v>
      </c>
    </row>
    <row r="462" spans="1:5" x14ac:dyDescent="0.3">
      <c r="A462" s="2">
        <v>43981</v>
      </c>
      <c r="B462" t="s">
        <v>11</v>
      </c>
      <c r="C462">
        <v>18</v>
      </c>
      <c r="D462">
        <v>1216</v>
      </c>
      <c r="E462">
        <v>1101</v>
      </c>
    </row>
    <row r="463" spans="1:5" x14ac:dyDescent="0.3">
      <c r="A463" s="2">
        <v>43981</v>
      </c>
      <c r="B463" t="s">
        <v>12</v>
      </c>
      <c r="C463">
        <v>17</v>
      </c>
      <c r="D463">
        <v>1697</v>
      </c>
      <c r="E463">
        <v>1499</v>
      </c>
    </row>
    <row r="464" spans="1:5" x14ac:dyDescent="0.3">
      <c r="A464" s="2">
        <v>43981</v>
      </c>
      <c r="B464" t="s">
        <v>13</v>
      </c>
      <c r="C464">
        <v>16</v>
      </c>
      <c r="D464">
        <v>1048</v>
      </c>
      <c r="E464">
        <v>918</v>
      </c>
    </row>
    <row r="465" spans="1:5" x14ac:dyDescent="0.3">
      <c r="A465" s="2">
        <v>43981</v>
      </c>
      <c r="B465" t="s">
        <v>14</v>
      </c>
      <c r="C465">
        <v>15</v>
      </c>
      <c r="D465">
        <v>490</v>
      </c>
      <c r="E465">
        <v>409</v>
      </c>
    </row>
    <row r="466" spans="1:5" x14ac:dyDescent="0.3">
      <c r="A466" s="2">
        <v>43981</v>
      </c>
      <c r="B466" t="s">
        <v>15</v>
      </c>
      <c r="C466">
        <v>124</v>
      </c>
      <c r="D466">
        <v>24325</v>
      </c>
      <c r="E466">
        <v>22469</v>
      </c>
    </row>
    <row r="467" spans="1:5" x14ac:dyDescent="0.3">
      <c r="A467" s="2">
        <v>43981</v>
      </c>
      <c r="B467" t="s">
        <v>16</v>
      </c>
      <c r="C467">
        <v>129</v>
      </c>
      <c r="D467">
        <v>20243</v>
      </c>
      <c r="E467">
        <v>18711</v>
      </c>
    </row>
    <row r="468" spans="1:5" x14ac:dyDescent="0.3">
      <c r="A468" s="2">
        <v>43981</v>
      </c>
      <c r="B468" t="s">
        <v>19</v>
      </c>
      <c r="C468">
        <v>10</v>
      </c>
      <c r="D468">
        <v>865</v>
      </c>
      <c r="E468">
        <v>763</v>
      </c>
    </row>
    <row r="469" spans="1:5" x14ac:dyDescent="0.3">
      <c r="A469" s="2">
        <v>43981</v>
      </c>
      <c r="B469" t="s">
        <v>18</v>
      </c>
      <c r="C469">
        <v>7</v>
      </c>
      <c r="D469">
        <v>532</v>
      </c>
      <c r="E469">
        <v>449</v>
      </c>
    </row>
    <row r="470" spans="1:5" x14ac:dyDescent="0.3">
      <c r="A470" s="2">
        <v>43982</v>
      </c>
      <c r="B470" t="s">
        <v>3</v>
      </c>
      <c r="C470">
        <v>37</v>
      </c>
      <c r="D470">
        <v>5215</v>
      </c>
      <c r="E470">
        <v>4848</v>
      </c>
    </row>
    <row r="471" spans="1:5" x14ac:dyDescent="0.3">
      <c r="A471" s="2">
        <v>43982</v>
      </c>
      <c r="B471" t="s">
        <v>4</v>
      </c>
      <c r="C471">
        <v>31</v>
      </c>
      <c r="D471">
        <v>5760</v>
      </c>
      <c r="E471">
        <v>5367</v>
      </c>
    </row>
    <row r="472" spans="1:5" x14ac:dyDescent="0.3">
      <c r="A472" s="2">
        <v>43982</v>
      </c>
      <c r="B472" t="s">
        <v>5</v>
      </c>
      <c r="C472">
        <v>23</v>
      </c>
      <c r="D472">
        <v>2522</v>
      </c>
      <c r="E472">
        <v>2295</v>
      </c>
    </row>
    <row r="473" spans="1:5" x14ac:dyDescent="0.3">
      <c r="A473" s="2">
        <v>43982</v>
      </c>
      <c r="B473" t="s">
        <v>6</v>
      </c>
      <c r="C473">
        <v>21</v>
      </c>
      <c r="D473">
        <v>2271</v>
      </c>
      <c r="E473">
        <v>2085</v>
      </c>
    </row>
    <row r="474" spans="1:5" x14ac:dyDescent="0.3">
      <c r="A474" s="2">
        <v>43982</v>
      </c>
      <c r="B474" t="s">
        <v>7</v>
      </c>
      <c r="C474">
        <v>21</v>
      </c>
      <c r="D474">
        <v>2056</v>
      </c>
      <c r="E474">
        <v>1879</v>
      </c>
    </row>
    <row r="475" spans="1:5" x14ac:dyDescent="0.3">
      <c r="A475" s="2">
        <v>43982</v>
      </c>
      <c r="B475" t="s">
        <v>8</v>
      </c>
      <c r="C475">
        <v>54</v>
      </c>
      <c r="D475">
        <v>13106</v>
      </c>
      <c r="E475">
        <v>12164</v>
      </c>
    </row>
    <row r="476" spans="1:5" x14ac:dyDescent="0.3">
      <c r="A476" s="2">
        <v>43982</v>
      </c>
      <c r="B476" t="s">
        <v>9</v>
      </c>
      <c r="C476">
        <v>59</v>
      </c>
      <c r="D476">
        <v>13684</v>
      </c>
      <c r="E476">
        <v>12690</v>
      </c>
    </row>
    <row r="477" spans="1:5" x14ac:dyDescent="0.3">
      <c r="A477" s="2">
        <v>43982</v>
      </c>
      <c r="B477" t="s">
        <v>10</v>
      </c>
      <c r="C477">
        <v>20</v>
      </c>
      <c r="D477">
        <v>2060</v>
      </c>
      <c r="E477">
        <v>1826</v>
      </c>
    </row>
    <row r="478" spans="1:5" x14ac:dyDescent="0.3">
      <c r="A478" s="2">
        <v>43982</v>
      </c>
      <c r="B478" t="s">
        <v>11</v>
      </c>
      <c r="C478">
        <v>18</v>
      </c>
      <c r="D478">
        <v>1029</v>
      </c>
      <c r="E478">
        <v>925</v>
      </c>
    </row>
    <row r="479" spans="1:5" x14ac:dyDescent="0.3">
      <c r="A479" s="2">
        <v>43982</v>
      </c>
      <c r="B479" t="s">
        <v>12</v>
      </c>
      <c r="C479">
        <v>17</v>
      </c>
      <c r="D479">
        <v>1186</v>
      </c>
      <c r="E479">
        <v>1054</v>
      </c>
    </row>
    <row r="480" spans="1:5" x14ac:dyDescent="0.3">
      <c r="A480" s="2">
        <v>43982</v>
      </c>
      <c r="B480" t="s">
        <v>13</v>
      </c>
      <c r="C480">
        <v>16</v>
      </c>
      <c r="D480">
        <v>917</v>
      </c>
      <c r="E480">
        <v>802</v>
      </c>
    </row>
    <row r="481" spans="1:5" x14ac:dyDescent="0.3">
      <c r="A481" s="2">
        <v>43982</v>
      </c>
      <c r="B481" t="s">
        <v>14</v>
      </c>
      <c r="C481">
        <v>15</v>
      </c>
      <c r="D481">
        <v>441</v>
      </c>
      <c r="E481">
        <v>368</v>
      </c>
    </row>
    <row r="482" spans="1:5" x14ac:dyDescent="0.3">
      <c r="A482" s="2">
        <v>43982</v>
      </c>
      <c r="B482" t="s">
        <v>15</v>
      </c>
      <c r="C482">
        <v>124</v>
      </c>
      <c r="D482">
        <v>21392</v>
      </c>
      <c r="E482">
        <v>19869</v>
      </c>
    </row>
    <row r="483" spans="1:5" x14ac:dyDescent="0.3">
      <c r="A483" s="2">
        <v>43982</v>
      </c>
      <c r="B483" t="s">
        <v>16</v>
      </c>
      <c r="C483">
        <v>129</v>
      </c>
      <c r="D483">
        <v>17235</v>
      </c>
      <c r="E483">
        <v>16052</v>
      </c>
    </row>
    <row r="484" spans="1:5" x14ac:dyDescent="0.3">
      <c r="A484" s="2">
        <v>43982</v>
      </c>
      <c r="B484" t="s">
        <v>19</v>
      </c>
      <c r="C484">
        <v>10</v>
      </c>
      <c r="D484">
        <v>749</v>
      </c>
      <c r="E484">
        <v>655</v>
      </c>
    </row>
    <row r="485" spans="1:5" x14ac:dyDescent="0.3">
      <c r="A485" s="2">
        <v>43982</v>
      </c>
      <c r="B485" t="s">
        <v>20</v>
      </c>
      <c r="C485">
        <v>9</v>
      </c>
      <c r="D485">
        <v>345</v>
      </c>
      <c r="E485">
        <v>255</v>
      </c>
    </row>
    <row r="486" spans="1:5" x14ac:dyDescent="0.3">
      <c r="A486" s="2">
        <v>43982</v>
      </c>
      <c r="B486" t="s">
        <v>18</v>
      </c>
      <c r="C486">
        <v>7</v>
      </c>
      <c r="D486">
        <v>530</v>
      </c>
      <c r="E486">
        <v>447</v>
      </c>
    </row>
    <row r="487" spans="1:5" x14ac:dyDescent="0.3">
      <c r="A487" s="2">
        <v>43982</v>
      </c>
      <c r="B487" t="s">
        <v>17</v>
      </c>
      <c r="C487">
        <v>6</v>
      </c>
      <c r="D487">
        <v>261</v>
      </c>
      <c r="E487">
        <v>188</v>
      </c>
    </row>
    <row r="488" spans="1:5" x14ac:dyDescent="0.3">
      <c r="A488" s="2">
        <v>43983</v>
      </c>
      <c r="B488" t="s">
        <v>3</v>
      </c>
      <c r="C488">
        <v>37</v>
      </c>
      <c r="D488">
        <v>4722</v>
      </c>
      <c r="E488">
        <v>4352</v>
      </c>
    </row>
    <row r="489" spans="1:5" x14ac:dyDescent="0.3">
      <c r="A489" s="2">
        <v>43983</v>
      </c>
      <c r="B489" t="s">
        <v>4</v>
      </c>
      <c r="C489">
        <v>31</v>
      </c>
      <c r="D489">
        <v>5468</v>
      </c>
      <c r="E489">
        <v>5081</v>
      </c>
    </row>
    <row r="490" spans="1:5" x14ac:dyDescent="0.3">
      <c r="A490" s="2">
        <v>43983</v>
      </c>
      <c r="B490" t="s">
        <v>5</v>
      </c>
      <c r="C490">
        <v>23</v>
      </c>
      <c r="D490">
        <v>2531</v>
      </c>
      <c r="E490">
        <v>2296</v>
      </c>
    </row>
    <row r="491" spans="1:5" x14ac:dyDescent="0.3">
      <c r="A491" s="2">
        <v>43983</v>
      </c>
      <c r="B491" t="s">
        <v>6</v>
      </c>
      <c r="C491">
        <v>21</v>
      </c>
      <c r="D491">
        <v>2025</v>
      </c>
      <c r="E491">
        <v>1849</v>
      </c>
    </row>
    <row r="492" spans="1:5" x14ac:dyDescent="0.3">
      <c r="A492" s="2">
        <v>43983</v>
      </c>
      <c r="B492" t="s">
        <v>7</v>
      </c>
      <c r="C492">
        <v>21</v>
      </c>
      <c r="D492">
        <v>1879</v>
      </c>
      <c r="E492">
        <v>1720</v>
      </c>
    </row>
    <row r="493" spans="1:5" x14ac:dyDescent="0.3">
      <c r="A493" s="2">
        <v>43983</v>
      </c>
      <c r="B493" t="s">
        <v>8</v>
      </c>
      <c r="C493">
        <v>54</v>
      </c>
      <c r="D493">
        <v>11864</v>
      </c>
      <c r="E493">
        <v>11071</v>
      </c>
    </row>
    <row r="494" spans="1:5" x14ac:dyDescent="0.3">
      <c r="A494" s="2">
        <v>43983</v>
      </c>
      <c r="B494" t="s">
        <v>9</v>
      </c>
      <c r="C494">
        <v>59</v>
      </c>
      <c r="D494">
        <v>12299</v>
      </c>
      <c r="E494">
        <v>11448</v>
      </c>
    </row>
    <row r="495" spans="1:5" x14ac:dyDescent="0.3">
      <c r="A495" s="2">
        <v>43983</v>
      </c>
      <c r="B495" t="s">
        <v>10</v>
      </c>
      <c r="C495">
        <v>20</v>
      </c>
      <c r="D495">
        <v>2136</v>
      </c>
      <c r="E495">
        <v>1899</v>
      </c>
    </row>
    <row r="496" spans="1:5" x14ac:dyDescent="0.3">
      <c r="A496" s="2">
        <v>43983</v>
      </c>
      <c r="B496" t="s">
        <v>11</v>
      </c>
      <c r="C496">
        <v>18</v>
      </c>
      <c r="D496">
        <v>923</v>
      </c>
      <c r="E496">
        <v>824</v>
      </c>
    </row>
    <row r="497" spans="1:5" x14ac:dyDescent="0.3">
      <c r="A497" s="2">
        <v>43983</v>
      </c>
      <c r="B497" t="s">
        <v>12</v>
      </c>
      <c r="C497">
        <v>17</v>
      </c>
      <c r="D497">
        <v>1185</v>
      </c>
      <c r="E497">
        <v>1042</v>
      </c>
    </row>
    <row r="498" spans="1:5" x14ac:dyDescent="0.3">
      <c r="A498" s="2">
        <v>43983</v>
      </c>
      <c r="B498" t="s">
        <v>13</v>
      </c>
      <c r="C498">
        <v>16</v>
      </c>
      <c r="D498">
        <v>1019</v>
      </c>
      <c r="E498">
        <v>895</v>
      </c>
    </row>
    <row r="499" spans="1:5" x14ac:dyDescent="0.3">
      <c r="A499" s="2">
        <v>43983</v>
      </c>
      <c r="B499" t="s">
        <v>14</v>
      </c>
      <c r="C499">
        <v>15</v>
      </c>
      <c r="D499">
        <v>453</v>
      </c>
      <c r="E499">
        <v>370</v>
      </c>
    </row>
    <row r="500" spans="1:5" x14ac:dyDescent="0.3">
      <c r="A500" s="2">
        <v>43983</v>
      </c>
      <c r="B500" t="s">
        <v>15</v>
      </c>
      <c r="C500">
        <v>123</v>
      </c>
      <c r="D500">
        <v>20325</v>
      </c>
      <c r="E500">
        <v>18935</v>
      </c>
    </row>
    <row r="501" spans="1:5" x14ac:dyDescent="0.3">
      <c r="A501" s="2">
        <v>43983</v>
      </c>
      <c r="B501" t="s">
        <v>16</v>
      </c>
      <c r="C501">
        <v>128</v>
      </c>
      <c r="D501">
        <v>16285</v>
      </c>
      <c r="E501">
        <v>15130</v>
      </c>
    </row>
    <row r="502" spans="1:5" x14ac:dyDescent="0.3">
      <c r="A502" s="2">
        <v>43983</v>
      </c>
      <c r="B502" t="s">
        <v>19</v>
      </c>
      <c r="C502">
        <v>10</v>
      </c>
      <c r="D502">
        <v>719</v>
      </c>
      <c r="E502">
        <v>627</v>
      </c>
    </row>
    <row r="503" spans="1:5" x14ac:dyDescent="0.3">
      <c r="A503" s="2">
        <v>43983</v>
      </c>
      <c r="B503" t="s">
        <v>20</v>
      </c>
      <c r="C503">
        <v>9</v>
      </c>
      <c r="D503">
        <v>294</v>
      </c>
      <c r="E503">
        <v>224</v>
      </c>
    </row>
    <row r="504" spans="1:5" x14ac:dyDescent="0.3">
      <c r="A504" s="2">
        <v>43983</v>
      </c>
      <c r="B504" t="s">
        <v>18</v>
      </c>
      <c r="C504">
        <v>7</v>
      </c>
      <c r="D504">
        <v>500</v>
      </c>
      <c r="E504">
        <v>418</v>
      </c>
    </row>
    <row r="505" spans="1:5" x14ac:dyDescent="0.3">
      <c r="A505" s="2">
        <v>43983</v>
      </c>
      <c r="B505" t="s">
        <v>17</v>
      </c>
      <c r="C505">
        <v>6</v>
      </c>
      <c r="D505">
        <v>237</v>
      </c>
      <c r="E505">
        <v>175</v>
      </c>
    </row>
  </sheetData>
  <sortState xmlns:xlrd2="http://schemas.microsoft.com/office/spreadsheetml/2017/richdata2" ref="A2:E505">
    <sortCondition ref="A2:A505"/>
    <sortCondition ref="B2:B505"/>
  </sortState>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Задание</vt:lpstr>
      <vt:lpstr>Лист1</vt:lpstr>
      <vt:lpstr>Задание 2</vt:lpstr>
      <vt:lpstr>Лист2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Владимир Петрухин</cp:lastModifiedBy>
  <dcterms:created xsi:type="dcterms:W3CDTF">2021-09-13T10:17:58Z</dcterms:created>
  <dcterms:modified xsi:type="dcterms:W3CDTF">2025-07-29T07:55:07Z</dcterms:modified>
</cp:coreProperties>
</file>